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6" windowHeight="7536"/>
  </bookViews>
  <sheets>
    <sheet name="BASE" sheetId="1" r:id="rId1"/>
    <sheet name="Query" sheetId="2" state="hidden" r:id="rId2"/>
  </sheets>
  <definedNames>
    <definedName name="_xlnm._FilterDatabase" localSheetId="0" hidden="1">BASE!$A$1:$E$73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" i="2" l="1"/>
  <c r="A32" i="2"/>
  <c r="A67" i="2"/>
  <c r="A141" i="2"/>
</calcChain>
</file>

<file path=xl/sharedStrings.xml><?xml version="1.0" encoding="utf-8"?>
<sst xmlns="http://schemas.openxmlformats.org/spreadsheetml/2006/main" count="3237" uniqueCount="2227">
  <si>
    <t>Var. Saldo Vigente</t>
  </si>
  <si>
    <t>Productividad</t>
  </si>
  <si>
    <t>Efectividad -30 a 0</t>
  </si>
  <si>
    <t>Usuario</t>
  </si>
  <si>
    <t>Efectividad 1 a 30</t>
  </si>
  <si>
    <t>ASESO075</t>
  </si>
  <si>
    <t>ASESO110</t>
  </si>
  <si>
    <t>ASESO131</t>
  </si>
  <si>
    <t>ASESO142</t>
  </si>
  <si>
    <t>ASESO152</t>
  </si>
  <si>
    <t>ASESO210</t>
  </si>
  <si>
    <t>ASESO250</t>
  </si>
  <si>
    <t>ASESO264</t>
  </si>
  <si>
    <t>ASESO274</t>
  </si>
  <si>
    <t>ASESO292</t>
  </si>
  <si>
    <t>ASESO328</t>
  </si>
  <si>
    <t>ASESO340</t>
  </si>
  <si>
    <t>ASESO359</t>
  </si>
  <si>
    <t>ASESO360</t>
  </si>
  <si>
    <t>ASESO83</t>
  </si>
  <si>
    <t>TAAMA100</t>
  </si>
  <si>
    <t>TAESV100</t>
  </si>
  <si>
    <t>TAHOV001</t>
  </si>
  <si>
    <t>TBCHL001</t>
  </si>
  <si>
    <t>TBGUL100</t>
  </si>
  <si>
    <t>TBVAC100</t>
  </si>
  <si>
    <t>TCPIC100</t>
  </si>
  <si>
    <t>TCSER101</t>
  </si>
  <si>
    <t>TCSIR101</t>
  </si>
  <si>
    <t>TCTAG100</t>
  </si>
  <si>
    <t>TDAUE100</t>
  </si>
  <si>
    <t>TDBAC101</t>
  </si>
  <si>
    <t>TDGRT001</t>
  </si>
  <si>
    <t>TDHET100</t>
  </si>
  <si>
    <t>TDHUT102</t>
  </si>
  <si>
    <t>TEALR101</t>
  </si>
  <si>
    <t>TEBUV100</t>
  </si>
  <si>
    <t>TELEZ100</t>
  </si>
  <si>
    <t>TEPON100</t>
  </si>
  <si>
    <t>TERAR101</t>
  </si>
  <si>
    <t>TEVEP100</t>
  </si>
  <si>
    <t>THCOL001</t>
  </si>
  <si>
    <t>THLOH100</t>
  </si>
  <si>
    <t>THVEC004</t>
  </si>
  <si>
    <t>TIMUR100</t>
  </si>
  <si>
    <t>TITIA002</t>
  </si>
  <si>
    <t>TJAUH100</t>
  </si>
  <si>
    <t>TJBAR100</t>
  </si>
  <si>
    <t>TJCAG103</t>
  </si>
  <si>
    <t>TJCAH001</t>
  </si>
  <si>
    <t>TJCAS100</t>
  </si>
  <si>
    <t>TJHUT100</t>
  </si>
  <si>
    <t>TJMAC102</t>
  </si>
  <si>
    <t>TJMUC100</t>
  </si>
  <si>
    <t>TJRAM101</t>
  </si>
  <si>
    <t>TJSAR101</t>
  </si>
  <si>
    <t>TJSOV100</t>
  </si>
  <si>
    <t>TJZEV001</t>
  </si>
  <si>
    <t>TKFLR100</t>
  </si>
  <si>
    <t>TKQUS101</t>
  </si>
  <si>
    <t>TLARR100</t>
  </si>
  <si>
    <t>TLLOP100</t>
  </si>
  <si>
    <t>TLRAA002</t>
  </si>
  <si>
    <t>TMANM001</t>
  </si>
  <si>
    <t>TMIBG100</t>
  </si>
  <si>
    <t>TMLOP101</t>
  </si>
  <si>
    <t>TMNUM101</t>
  </si>
  <si>
    <t>TMSIB100</t>
  </si>
  <si>
    <t>TMTIC102</t>
  </si>
  <si>
    <t>TRESQ001</t>
  </si>
  <si>
    <t>TRMAN001</t>
  </si>
  <si>
    <t>TRPEZ100</t>
  </si>
  <si>
    <t>TRRAA100</t>
  </si>
  <si>
    <t>TRREL001</t>
  </si>
  <si>
    <t>TRRUP100</t>
  </si>
  <si>
    <t>TSALC004</t>
  </si>
  <si>
    <t>TSALC100</t>
  </si>
  <si>
    <t>ASESO015</t>
  </si>
  <si>
    <t>ASESO034</t>
  </si>
  <si>
    <t>ASESO041</t>
  </si>
  <si>
    <t>ASESO185</t>
  </si>
  <si>
    <t>ASESO339</t>
  </si>
  <si>
    <t>ASESO42</t>
  </si>
  <si>
    <t>ASESO52</t>
  </si>
  <si>
    <t>ASESO74</t>
  </si>
  <si>
    <t>TACUM100</t>
  </si>
  <si>
    <t>TALOT001</t>
  </si>
  <si>
    <t>TAPAC100</t>
  </si>
  <si>
    <t>TARIB100</t>
  </si>
  <si>
    <t>TAVIB001</t>
  </si>
  <si>
    <t>TBCHH100</t>
  </si>
  <si>
    <t>TBREF100</t>
  </si>
  <si>
    <t>TCRIR002</t>
  </si>
  <si>
    <t>TDFLV100</t>
  </si>
  <si>
    <t>TDPAO100</t>
  </si>
  <si>
    <t>TDPAS002</t>
  </si>
  <si>
    <t>TDSOE100</t>
  </si>
  <si>
    <t>TECHH101</t>
  </si>
  <si>
    <t>TEMAA101</t>
  </si>
  <si>
    <t>TEMUV100</t>
  </si>
  <si>
    <t>TEZEC100</t>
  </si>
  <si>
    <t>TFESC100</t>
  </si>
  <si>
    <t>TFFAM100</t>
  </si>
  <si>
    <t>TFLAA100</t>
  </si>
  <si>
    <t>TFMAB101</t>
  </si>
  <si>
    <t>TFVIS100</t>
  </si>
  <si>
    <t>TGRES001</t>
  </si>
  <si>
    <t>THARF100</t>
  </si>
  <si>
    <t>TICHC101</t>
  </si>
  <si>
    <t>TIHUC100</t>
  </si>
  <si>
    <t>TILOC100</t>
  </si>
  <si>
    <t>TJALL100</t>
  </si>
  <si>
    <t>TJARB101</t>
  </si>
  <si>
    <t>TJBAS102</t>
  </si>
  <si>
    <t>TJCOH100</t>
  </si>
  <si>
    <t>TJDIS101</t>
  </si>
  <si>
    <t>TJHEQ100</t>
  </si>
  <si>
    <t>TJPEZ100</t>
  </si>
  <si>
    <t>TJQUY100</t>
  </si>
  <si>
    <t>TJROP003</t>
  </si>
  <si>
    <t>TJTIC101</t>
  </si>
  <si>
    <t>TJTRC100</t>
  </si>
  <si>
    <t>TKPOE100</t>
  </si>
  <si>
    <t>TKSAY100</t>
  </si>
  <si>
    <t>TLABM001</t>
  </si>
  <si>
    <t>TLCCJ101</t>
  </si>
  <si>
    <t>TLMIC100</t>
  </si>
  <si>
    <t>TLSEM100</t>
  </si>
  <si>
    <t>TLTEE100</t>
  </si>
  <si>
    <t>TMCAC001</t>
  </si>
  <si>
    <t>TMGAR101</t>
  </si>
  <si>
    <t>TMNAC004</t>
  </si>
  <si>
    <t>TMROP001</t>
  </si>
  <si>
    <t>TNMAQ101</t>
  </si>
  <si>
    <t>TNOJB100</t>
  </si>
  <si>
    <t>TNQUA100</t>
  </si>
  <si>
    <t>TPABB100</t>
  </si>
  <si>
    <t>TPROC100</t>
  </si>
  <si>
    <t>TRAPB100</t>
  </si>
  <si>
    <t>TRCAA100</t>
  </si>
  <si>
    <t>TRCOR100</t>
  </si>
  <si>
    <t>TRMAM001</t>
  </si>
  <si>
    <t>TRMOA101</t>
  </si>
  <si>
    <t>TSPAC100</t>
  </si>
  <si>
    <t>TTPOS100</t>
  </si>
  <si>
    <t>TVHUC100</t>
  </si>
  <si>
    <t>TWBAT002</t>
  </si>
  <si>
    <t>TWGAA100</t>
  </si>
  <si>
    <t>TWMAB001</t>
  </si>
  <si>
    <t>TYDIA100</t>
  </si>
  <si>
    <t>ASESO071</t>
  </si>
  <si>
    <t>ASESO083</t>
  </si>
  <si>
    <t>ASESO123</t>
  </si>
  <si>
    <t>ASESO15</t>
  </si>
  <si>
    <t>ASESO180</t>
  </si>
  <si>
    <t>ASESO26</t>
  </si>
  <si>
    <t>ASESO298</t>
  </si>
  <si>
    <t>ASESO330</t>
  </si>
  <si>
    <t>ASESO344</t>
  </si>
  <si>
    <t>ASESO58</t>
  </si>
  <si>
    <t>TACHO100</t>
  </si>
  <si>
    <t>TACUM002</t>
  </si>
  <si>
    <t>TAESC001</t>
  </si>
  <si>
    <t>TALOV100</t>
  </si>
  <si>
    <t>TANAR001</t>
  </si>
  <si>
    <t>TAQUB100</t>
  </si>
  <si>
    <t>TAROM101</t>
  </si>
  <si>
    <t>TASOG100</t>
  </si>
  <si>
    <t>TAZEV001</t>
  </si>
  <si>
    <t>TBLOS100</t>
  </si>
  <si>
    <t>TBQUB001</t>
  </si>
  <si>
    <t>TCHUC100</t>
  </si>
  <si>
    <t>TCINR100</t>
  </si>
  <si>
    <t>TCNAS001</t>
  </si>
  <si>
    <t>TCPAZ001</t>
  </si>
  <si>
    <t>TCRIS100</t>
  </si>
  <si>
    <t>TCVAT100</t>
  </si>
  <si>
    <t>TDABH001</t>
  </si>
  <si>
    <t>TEMOQ100</t>
  </si>
  <si>
    <t>TESAC103</t>
  </si>
  <si>
    <t>TESEA100</t>
  </si>
  <si>
    <t>TESOG100</t>
  </si>
  <si>
    <t>THCOV100</t>
  </si>
  <si>
    <t>THMOR004</t>
  </si>
  <si>
    <t>THPEM100</t>
  </si>
  <si>
    <t>THROE100</t>
  </si>
  <si>
    <t>TICUC100</t>
  </si>
  <si>
    <t>TINOD100</t>
  </si>
  <si>
    <t>TIPEL100</t>
  </si>
  <si>
    <t>TJACC001</t>
  </si>
  <si>
    <t>TJCOA002</t>
  </si>
  <si>
    <t>TJFAR100</t>
  </si>
  <si>
    <t>TJFES001</t>
  </si>
  <si>
    <t>TJHIT100</t>
  </si>
  <si>
    <t>TJMOC101</t>
  </si>
  <si>
    <t>TJNOV100</t>
  </si>
  <si>
    <t>TJPOF100</t>
  </si>
  <si>
    <t>TJRAB100</t>
  </si>
  <si>
    <t>TJRAY100</t>
  </si>
  <si>
    <t>TKCAQ001</t>
  </si>
  <si>
    <t>TKCIS100</t>
  </si>
  <si>
    <t>TLCOE100</t>
  </si>
  <si>
    <t>TLFLE001</t>
  </si>
  <si>
    <t>TLGIC100</t>
  </si>
  <si>
    <t>TLMAP100</t>
  </si>
  <si>
    <t>TLNOG100</t>
  </si>
  <si>
    <t>TLPOG100</t>
  </si>
  <si>
    <t>TLRIM100</t>
  </si>
  <si>
    <t>TLRIR100</t>
  </si>
  <si>
    <t>TLROM004</t>
  </si>
  <si>
    <t>TLTAT101</t>
  </si>
  <si>
    <t>TMARV102</t>
  </si>
  <si>
    <t>TMCOI100</t>
  </si>
  <si>
    <t>TMHIL101</t>
  </si>
  <si>
    <t>TMMAG100</t>
  </si>
  <si>
    <t>TOQUS001</t>
  </si>
  <si>
    <t>TOSUZ001</t>
  </si>
  <si>
    <t>TPSEL100</t>
  </si>
  <si>
    <t>TRALA100</t>
  </si>
  <si>
    <t>TRCAE100</t>
  </si>
  <si>
    <t>TSCAH001</t>
  </si>
  <si>
    <t>TSCUV001</t>
  </si>
  <si>
    <t>TVCAR100</t>
  </si>
  <si>
    <t>TVCCQ100</t>
  </si>
  <si>
    <t>ASESO026</t>
  </si>
  <si>
    <t>ASESO144</t>
  </si>
  <si>
    <t>ASESO20</t>
  </si>
  <si>
    <t>ASESO21</t>
  </si>
  <si>
    <t>ASESO212</t>
  </si>
  <si>
    <t>ASESO291</t>
  </si>
  <si>
    <t>ASESO294</t>
  </si>
  <si>
    <t>ASESO323</t>
  </si>
  <si>
    <t>ASESO326</t>
  </si>
  <si>
    <t>ASESO333</t>
  </si>
  <si>
    <t>ASESO341</t>
  </si>
  <si>
    <t>TACAP100</t>
  </si>
  <si>
    <t>TAECY100</t>
  </si>
  <si>
    <t>TAHEP100</t>
  </si>
  <si>
    <t>TAYAM100</t>
  </si>
  <si>
    <t>TBMAR102</t>
  </si>
  <si>
    <t>TBSAP100</t>
  </si>
  <si>
    <t>TCJUB100</t>
  </si>
  <si>
    <t>TDBAE100</t>
  </si>
  <si>
    <t>TDCOH100</t>
  </si>
  <si>
    <t>TDFEB100</t>
  </si>
  <si>
    <t>TDHUQ100</t>
  </si>
  <si>
    <t>TDSAA001</t>
  </si>
  <si>
    <t>TDZAA100</t>
  </si>
  <si>
    <t>TEHUC102</t>
  </si>
  <si>
    <t>TELIH001</t>
  </si>
  <si>
    <t>TEPAS101</t>
  </si>
  <si>
    <t>TESAL100</t>
  </si>
  <si>
    <t>TGBAR100</t>
  </si>
  <si>
    <t>TGDOL100</t>
  </si>
  <si>
    <t>TGHUM001</t>
  </si>
  <si>
    <t>THCHV100</t>
  </si>
  <si>
    <t>TJCHD100</t>
  </si>
  <si>
    <t>TJCOJ100</t>
  </si>
  <si>
    <t>TJFLC005</t>
  </si>
  <si>
    <t>TJFLV100</t>
  </si>
  <si>
    <t>TJHUA101</t>
  </si>
  <si>
    <t>TJLUM001</t>
  </si>
  <si>
    <t>TJMAC103</t>
  </si>
  <si>
    <t>TJMER102</t>
  </si>
  <si>
    <t>TJRAC100</t>
  </si>
  <si>
    <t>TKGAE100</t>
  </si>
  <si>
    <t>TKRAD100</t>
  </si>
  <si>
    <t>TLDAP100</t>
  </si>
  <si>
    <t>TLHUD100</t>
  </si>
  <si>
    <t>TLLOS102</t>
  </si>
  <si>
    <t>TLPAF002</t>
  </si>
  <si>
    <t>TLPOC001</t>
  </si>
  <si>
    <t>TLSAB100</t>
  </si>
  <si>
    <t>TMCHS004</t>
  </si>
  <si>
    <t>TMCOC100</t>
  </si>
  <si>
    <t>TMCOE100</t>
  </si>
  <si>
    <t>TMCOG100</t>
  </si>
  <si>
    <t>TMHEO002</t>
  </si>
  <si>
    <t>TMJUF100</t>
  </si>
  <si>
    <t>TMQUA100</t>
  </si>
  <si>
    <t>TMSEH100</t>
  </si>
  <si>
    <t>TMTES001</t>
  </si>
  <si>
    <t>TNBAF001</t>
  </si>
  <si>
    <t>TNCAC005</t>
  </si>
  <si>
    <t>TNFRC001</t>
  </si>
  <si>
    <t>TNHUC100</t>
  </si>
  <si>
    <t>TNVEC001</t>
  </si>
  <si>
    <t>TPFLV101</t>
  </si>
  <si>
    <t>TPHEG100</t>
  </si>
  <si>
    <t>TRAMM100</t>
  </si>
  <si>
    <t>TRCOV003</t>
  </si>
  <si>
    <t>TRMED001</t>
  </si>
  <si>
    <t>TRPAA100</t>
  </si>
  <si>
    <t>TRRUC101</t>
  </si>
  <si>
    <t>TRSAY100</t>
  </si>
  <si>
    <t>TRVAC100</t>
  </si>
  <si>
    <t>TSDER001</t>
  </si>
  <si>
    <t>TSESC001</t>
  </si>
  <si>
    <t>ASESO055</t>
  </si>
  <si>
    <t>ASESO073</t>
  </si>
  <si>
    <t>ASESO121</t>
  </si>
  <si>
    <t>ASESO13</t>
  </si>
  <si>
    <t>ASESO141</t>
  </si>
  <si>
    <t>ASESO150</t>
  </si>
  <si>
    <t>ASESO232</t>
  </si>
  <si>
    <t>ASESO24</t>
  </si>
  <si>
    <t>ASESO260</t>
  </si>
  <si>
    <t>ASESO281</t>
  </si>
  <si>
    <t>ASESO311</t>
  </si>
  <si>
    <t>ASESO342</t>
  </si>
  <si>
    <t>ASESO346</t>
  </si>
  <si>
    <t>ASESO51</t>
  </si>
  <si>
    <t>ASESO56</t>
  </si>
  <si>
    <t>ASESO61</t>
  </si>
  <si>
    <t>TACAM005</t>
  </si>
  <si>
    <t>TAGAG100</t>
  </si>
  <si>
    <t>TAPEE101</t>
  </si>
  <si>
    <t>TARUV100</t>
  </si>
  <si>
    <t>TATAC101</t>
  </si>
  <si>
    <t>TCCAB100</t>
  </si>
  <si>
    <t>TCQUM002</t>
  </si>
  <si>
    <t>TDBEC100</t>
  </si>
  <si>
    <t>TDMAR001</t>
  </si>
  <si>
    <t>TDTOC100</t>
  </si>
  <si>
    <t>TDVAL100</t>
  </si>
  <si>
    <t>TECOP100</t>
  </si>
  <si>
    <t>TEHUA101</t>
  </si>
  <si>
    <t>TEZEQ100</t>
  </si>
  <si>
    <t>TFESM100</t>
  </si>
  <si>
    <t>TFLLV100</t>
  </si>
  <si>
    <t>TFSAA100</t>
  </si>
  <si>
    <t>TFSOR001</t>
  </si>
  <si>
    <t>TFVIE100</t>
  </si>
  <si>
    <t>TGAPM001</t>
  </si>
  <si>
    <t>TGARR100</t>
  </si>
  <si>
    <t>TGGOS100</t>
  </si>
  <si>
    <t>THMER100</t>
  </si>
  <si>
    <t>THNAT100</t>
  </si>
  <si>
    <t>THPAQ101</t>
  </si>
  <si>
    <t>TJAGI100</t>
  </si>
  <si>
    <t>TJCAB101</t>
  </si>
  <si>
    <t>TJCAM105</t>
  </si>
  <si>
    <t>TJCHR103</t>
  </si>
  <si>
    <t>TJGAA101</t>
  </si>
  <si>
    <t>TJGOQ001</t>
  </si>
  <si>
    <t>TJGUH100</t>
  </si>
  <si>
    <t>TJMEM002</t>
  </si>
  <si>
    <t>TJNOM001</t>
  </si>
  <si>
    <t>TJQUM101</t>
  </si>
  <si>
    <t>TJTEC100</t>
  </si>
  <si>
    <t>TJUCT100</t>
  </si>
  <si>
    <t>TJVAB100</t>
  </si>
  <si>
    <t>TJVAI100</t>
  </si>
  <si>
    <t>TKELR100</t>
  </si>
  <si>
    <t>TKESS100</t>
  </si>
  <si>
    <t>TKLOM101</t>
  </si>
  <si>
    <t>TKPAA100</t>
  </si>
  <si>
    <t>TKTOR100</t>
  </si>
  <si>
    <t>TLAMC100</t>
  </si>
  <si>
    <t>TLESP101</t>
  </si>
  <si>
    <t>TLMAC103</t>
  </si>
  <si>
    <t>TLROV101</t>
  </si>
  <si>
    <t>TLSAP101</t>
  </si>
  <si>
    <t>TMESM100</t>
  </si>
  <si>
    <t>TMMEU100</t>
  </si>
  <si>
    <t>TMOCP100</t>
  </si>
  <si>
    <t>TMVAN100</t>
  </si>
  <si>
    <t>TMVIC100</t>
  </si>
  <si>
    <t>TMZAR100</t>
  </si>
  <si>
    <t>TNDAM100</t>
  </si>
  <si>
    <t>TNTET100</t>
  </si>
  <si>
    <t>TOVID001</t>
  </si>
  <si>
    <t>TRAGD100</t>
  </si>
  <si>
    <t>TRCOG101</t>
  </si>
  <si>
    <t>TRCUM001</t>
  </si>
  <si>
    <t>TRHER100</t>
  </si>
  <si>
    <t>TRHIR100</t>
  </si>
  <si>
    <t>TRROC001</t>
  </si>
  <si>
    <t>TSCAR102</t>
  </si>
  <si>
    <t>TTIBQ001</t>
  </si>
  <si>
    <t>TVCAU100</t>
  </si>
  <si>
    <t>ASESO013</t>
  </si>
  <si>
    <t>ASESO024</t>
  </si>
  <si>
    <t>ASESO124</t>
  </si>
  <si>
    <t>ASESO177</t>
  </si>
  <si>
    <t>ASESO23</t>
  </si>
  <si>
    <t>ASESO233</t>
  </si>
  <si>
    <t>ASESO252</t>
  </si>
  <si>
    <t>ASESO286</t>
  </si>
  <si>
    <t>ASESO302</t>
  </si>
  <si>
    <t>ASESO314</t>
  </si>
  <si>
    <t>ASESO316</t>
  </si>
  <si>
    <t>ASESO349</t>
  </si>
  <si>
    <t>ASESO350</t>
  </si>
  <si>
    <t>TAAGC100</t>
  </si>
  <si>
    <t>TAGOV100</t>
  </si>
  <si>
    <t>TAVIS100</t>
  </si>
  <si>
    <t>TCARN100</t>
  </si>
  <si>
    <t>TCCOR100</t>
  </si>
  <si>
    <t>TCESV001</t>
  </si>
  <si>
    <t>TCHUR100</t>
  </si>
  <si>
    <t>TCLEG100</t>
  </si>
  <si>
    <t>TCLOM001</t>
  </si>
  <si>
    <t>TCPAC002</t>
  </si>
  <si>
    <t>TDCAH002</t>
  </si>
  <si>
    <t>TDURA100</t>
  </si>
  <si>
    <t>TEARS100</t>
  </si>
  <si>
    <t>TECAC003</t>
  </si>
  <si>
    <t>TECOM101</t>
  </si>
  <si>
    <t>TECRT100</t>
  </si>
  <si>
    <t>TEFAA100</t>
  </si>
  <si>
    <t>TEMOR100</t>
  </si>
  <si>
    <t>TEQUP101</t>
  </si>
  <si>
    <t>TERED100</t>
  </si>
  <si>
    <t>TERIF100</t>
  </si>
  <si>
    <t>TFANC002</t>
  </si>
  <si>
    <t>TGCEF100</t>
  </si>
  <si>
    <t>TGCUE100</t>
  </si>
  <si>
    <t>THRUR100</t>
  </si>
  <si>
    <t>TJBAB100</t>
  </si>
  <si>
    <t>TJDAF100</t>
  </si>
  <si>
    <t>TJFAQ100</t>
  </si>
  <si>
    <t>TJLLO001</t>
  </si>
  <si>
    <t>TJPEQ001</t>
  </si>
  <si>
    <t>TJROC103</t>
  </si>
  <si>
    <t>TJYAS101</t>
  </si>
  <si>
    <t>TJZEJ100</t>
  </si>
  <si>
    <t>TLCOA100</t>
  </si>
  <si>
    <t>TLENC100</t>
  </si>
  <si>
    <t>TLESH001</t>
  </si>
  <si>
    <t>TLESV100</t>
  </si>
  <si>
    <t>TLFEG100</t>
  </si>
  <si>
    <t>TLLAA001</t>
  </si>
  <si>
    <t>TLRUP001</t>
  </si>
  <si>
    <t>TLSAR100</t>
  </si>
  <si>
    <t>TLSIG100</t>
  </si>
  <si>
    <t>TMNAP100</t>
  </si>
  <si>
    <t>TMROT101</t>
  </si>
  <si>
    <t>TNCUA001</t>
  </si>
  <si>
    <t>TRKAJ100</t>
  </si>
  <si>
    <t>TRLAL101</t>
  </si>
  <si>
    <t>TRMES101</t>
  </si>
  <si>
    <t>TRPRV100</t>
  </si>
  <si>
    <t>TRTAA100</t>
  </si>
  <si>
    <t>TSREC101</t>
  </si>
  <si>
    <t>TSRIE100</t>
  </si>
  <si>
    <t>TTCAC100</t>
  </si>
  <si>
    <t>TVFAS100</t>
  </si>
  <si>
    <t>TWBRB100</t>
  </si>
  <si>
    <t>TWMAS100</t>
  </si>
  <si>
    <t>TWSOR100</t>
  </si>
  <si>
    <t>TYCCM100</t>
  </si>
  <si>
    <t>ASESO010</t>
  </si>
  <si>
    <t>ASESO025</t>
  </si>
  <si>
    <t>ASESO030</t>
  </si>
  <si>
    <t>ASESO056</t>
  </si>
  <si>
    <t>ASESO059</t>
  </si>
  <si>
    <t>ASESO125</t>
  </si>
  <si>
    <t>ASESO172</t>
  </si>
  <si>
    <t>ASESO263</t>
  </si>
  <si>
    <t>ASESO325</t>
  </si>
  <si>
    <t>ASESO332</t>
  </si>
  <si>
    <t>ASESO41</t>
  </si>
  <si>
    <t>TACAS100</t>
  </si>
  <si>
    <t>TASAS101</t>
  </si>
  <si>
    <t>TCLIT100</t>
  </si>
  <si>
    <t>TDASE001</t>
  </si>
  <si>
    <t>TDCAL101</t>
  </si>
  <si>
    <t>TDMAO100</t>
  </si>
  <si>
    <t>TDPAG002</t>
  </si>
  <si>
    <t>TDRES100</t>
  </si>
  <si>
    <t>TDRUG100</t>
  </si>
  <si>
    <t>TEBRS101</t>
  </si>
  <si>
    <t>TEHIA100</t>
  </si>
  <si>
    <t>TEJIT100</t>
  </si>
  <si>
    <t>TEMAB101</t>
  </si>
  <si>
    <t>TEMEP102</t>
  </si>
  <si>
    <t>TENIC100</t>
  </si>
  <si>
    <t>TFINL100</t>
  </si>
  <si>
    <t>TGHES100</t>
  </si>
  <si>
    <t>THHUR001</t>
  </si>
  <si>
    <t>THRAA001</t>
  </si>
  <si>
    <t>TJART103</t>
  </si>
  <si>
    <t>TJCAC104</t>
  </si>
  <si>
    <t>TJCAH104</t>
  </si>
  <si>
    <t>TJCHM100</t>
  </si>
  <si>
    <t>TJDEG100</t>
  </si>
  <si>
    <t>TJDIQ001</t>
  </si>
  <si>
    <t>TJMUM001</t>
  </si>
  <si>
    <t>TJORY001</t>
  </si>
  <si>
    <t>TJPAV101</t>
  </si>
  <si>
    <t>TJPEL100</t>
  </si>
  <si>
    <t>TJPER100</t>
  </si>
  <si>
    <t>TJTIR100</t>
  </si>
  <si>
    <t>TKALF100</t>
  </si>
  <si>
    <t>TKMAA100</t>
  </si>
  <si>
    <t>TKQUS100</t>
  </si>
  <si>
    <t>TLAMC001</t>
  </si>
  <si>
    <t>TLDEC103</t>
  </si>
  <si>
    <t>TLJES001</t>
  </si>
  <si>
    <t>TLPAS100</t>
  </si>
  <si>
    <t>TLSES101</t>
  </si>
  <si>
    <t>TLUNP100</t>
  </si>
  <si>
    <t>TMAVB100</t>
  </si>
  <si>
    <t>TMCAH001</t>
  </si>
  <si>
    <t>TMCIV001</t>
  </si>
  <si>
    <t>TMDEA100</t>
  </si>
  <si>
    <t>TMHUI100</t>
  </si>
  <si>
    <t>TMIZL001</t>
  </si>
  <si>
    <t>TMJUB100</t>
  </si>
  <si>
    <t>TMLOT100</t>
  </si>
  <si>
    <t>TMMAC104</t>
  </si>
  <si>
    <t>TMRUG100</t>
  </si>
  <si>
    <t>TNCAA001</t>
  </si>
  <si>
    <t>TNHUQ100</t>
  </si>
  <si>
    <t>TNVAV100</t>
  </si>
  <si>
    <t>TONOB100</t>
  </si>
  <si>
    <t>TPGAA100</t>
  </si>
  <si>
    <t>TPVAC001</t>
  </si>
  <si>
    <t>TRAUA100</t>
  </si>
  <si>
    <t>TRCAC002</t>
  </si>
  <si>
    <t>TRCUN001</t>
  </si>
  <si>
    <t>TRORC001</t>
  </si>
  <si>
    <t>TRROH101</t>
  </si>
  <si>
    <t>TSGRG100</t>
  </si>
  <si>
    <t>ASESO020</t>
  </si>
  <si>
    <t>ASESO054</t>
  </si>
  <si>
    <t>ASESO080</t>
  </si>
  <si>
    <t>ASESO14</t>
  </si>
  <si>
    <t>ASESO174</t>
  </si>
  <si>
    <t>ASESO251</t>
  </si>
  <si>
    <t>ASESO262</t>
  </si>
  <si>
    <t>ASESO297</t>
  </si>
  <si>
    <t>ASESO319</t>
  </si>
  <si>
    <t>ASESO331</t>
  </si>
  <si>
    <t>ASESO343</t>
  </si>
  <si>
    <t>ASESO358</t>
  </si>
  <si>
    <t>ASESO361</t>
  </si>
  <si>
    <t>ASESO40</t>
  </si>
  <si>
    <t>ASESO43</t>
  </si>
  <si>
    <t>ASESO50</t>
  </si>
  <si>
    <t>ASESO57</t>
  </si>
  <si>
    <t>ASESO60</t>
  </si>
  <si>
    <t>ASESO80</t>
  </si>
  <si>
    <t>TACAL100</t>
  </si>
  <si>
    <t>TADEE101</t>
  </si>
  <si>
    <t>TALEV100</t>
  </si>
  <si>
    <t>TAPUQ101</t>
  </si>
  <si>
    <t>TAVAA100</t>
  </si>
  <si>
    <t>TCACF100</t>
  </si>
  <si>
    <t>TCBAB100</t>
  </si>
  <si>
    <t>TCCAP001</t>
  </si>
  <si>
    <t>TCCAR101</t>
  </si>
  <si>
    <t>TCSAQ100</t>
  </si>
  <si>
    <t>TCZAA001</t>
  </si>
  <si>
    <t>TDCHH100</t>
  </si>
  <si>
    <t>TDDEG100</t>
  </si>
  <si>
    <t>TDMAB100</t>
  </si>
  <si>
    <t>TDSAF001</t>
  </si>
  <si>
    <t>TEGOA001</t>
  </si>
  <si>
    <t>TEGUC001</t>
  </si>
  <si>
    <t>TEHUC001</t>
  </si>
  <si>
    <t>TELAC102</t>
  </si>
  <si>
    <t>TEMAC102</t>
  </si>
  <si>
    <t>TEPAC002</t>
  </si>
  <si>
    <t>TEROY100</t>
  </si>
  <si>
    <t>TETAR100</t>
  </si>
  <si>
    <t>TEVEV100</t>
  </si>
  <si>
    <t>TFHIB100</t>
  </si>
  <si>
    <t>TGLEL001</t>
  </si>
  <si>
    <t>TICHZ100</t>
  </si>
  <si>
    <t>TICRV001</t>
  </si>
  <si>
    <t>TIMER001</t>
  </si>
  <si>
    <t>TJBAV100</t>
  </si>
  <si>
    <t>TJCAC103</t>
  </si>
  <si>
    <t>TJHIG100</t>
  </si>
  <si>
    <t>TJHUA102</t>
  </si>
  <si>
    <t>TJJAV100</t>
  </si>
  <si>
    <t>TJOGV100</t>
  </si>
  <si>
    <t>TJSAT100</t>
  </si>
  <si>
    <t>TJVAC101</t>
  </si>
  <si>
    <t>TJVAP006</t>
  </si>
  <si>
    <t>TKSOG100</t>
  </si>
  <si>
    <t>TKYAT100</t>
  </si>
  <si>
    <t>TLALP100</t>
  </si>
  <si>
    <t>TLTAL100</t>
  </si>
  <si>
    <t>TMABD001</t>
  </si>
  <si>
    <t>TMCAC007</t>
  </si>
  <si>
    <t>TMCAC106</t>
  </si>
  <si>
    <t>TMMAL101</t>
  </si>
  <si>
    <t>TMOSR001</t>
  </si>
  <si>
    <t>TMPER100</t>
  </si>
  <si>
    <t>TMSAT100</t>
  </si>
  <si>
    <t>TNROT100</t>
  </si>
  <si>
    <t>TOARH001</t>
  </si>
  <si>
    <t>TOAVA100</t>
  </si>
  <si>
    <t>TPPIA100</t>
  </si>
  <si>
    <t>TRCAC105</t>
  </si>
  <si>
    <t>TRLOS001</t>
  </si>
  <si>
    <t>ASESO050</t>
  </si>
  <si>
    <t>ASESO061</t>
  </si>
  <si>
    <t>ASESO134</t>
  </si>
  <si>
    <t>ASESO161</t>
  </si>
  <si>
    <t>ASESO164</t>
  </si>
  <si>
    <t>ASESO18</t>
  </si>
  <si>
    <t>ASESO266</t>
  </si>
  <si>
    <t>ASESO27</t>
  </si>
  <si>
    <t>ASESO272</t>
  </si>
  <si>
    <t>ASESO285</t>
  </si>
  <si>
    <t>ASESO315</t>
  </si>
  <si>
    <t>ASESO55</t>
  </si>
  <si>
    <t>TACOC101</t>
  </si>
  <si>
    <t>TAFLE100</t>
  </si>
  <si>
    <t>TAVEV002</t>
  </si>
  <si>
    <t>TCACP001</t>
  </si>
  <si>
    <t>TCMAC100</t>
  </si>
  <si>
    <t>TCMEE100</t>
  </si>
  <si>
    <t>TCSAP100</t>
  </si>
  <si>
    <t>TDCHZ100</t>
  </si>
  <si>
    <t>TDQUR002</t>
  </si>
  <si>
    <t>TDRAA100</t>
  </si>
  <si>
    <t>TDSAH100</t>
  </si>
  <si>
    <t>TEARF003</t>
  </si>
  <si>
    <t>TEBEP100</t>
  </si>
  <si>
    <t>TELLM001</t>
  </si>
  <si>
    <t>TELOM001</t>
  </si>
  <si>
    <t>TEMES101</t>
  </si>
  <si>
    <t>TEMUS001</t>
  </si>
  <si>
    <t>TEROV101</t>
  </si>
  <si>
    <t>TEYAC100</t>
  </si>
  <si>
    <t>TFFLC100</t>
  </si>
  <si>
    <t>TFMOQ100</t>
  </si>
  <si>
    <t>TGFLC001</t>
  </si>
  <si>
    <t>TGLOL100</t>
  </si>
  <si>
    <t>TGMOZ001</t>
  </si>
  <si>
    <t>TGQUB100</t>
  </si>
  <si>
    <t>THBAG100</t>
  </si>
  <si>
    <t>TICOP100</t>
  </si>
  <si>
    <t>TJBAC101</t>
  </si>
  <si>
    <t>TJCAF102</t>
  </si>
  <si>
    <t>TJCCL100</t>
  </si>
  <si>
    <t>TJCRC100</t>
  </si>
  <si>
    <t>TJDEM100</t>
  </si>
  <si>
    <t>TJDES100</t>
  </si>
  <si>
    <t>TJENG100</t>
  </si>
  <si>
    <t>TJFEH100</t>
  </si>
  <si>
    <t>TJGUR100</t>
  </si>
  <si>
    <t>TJHIC100</t>
  </si>
  <si>
    <t>TJMUT100</t>
  </si>
  <si>
    <t>TJNAA100</t>
  </si>
  <si>
    <t>TJPAC104</t>
  </si>
  <si>
    <t>TJPAF101</t>
  </si>
  <si>
    <t>TJPAT002</t>
  </si>
  <si>
    <t>TJPEA101</t>
  </si>
  <si>
    <t>TJROH101</t>
  </si>
  <si>
    <t>TJTIT100</t>
  </si>
  <si>
    <t>TKCOL100</t>
  </si>
  <si>
    <t>TKYAQ100</t>
  </si>
  <si>
    <t>TLATM100</t>
  </si>
  <si>
    <t>TLCRF100</t>
  </si>
  <si>
    <t>TLECS100</t>
  </si>
  <si>
    <t>TLEGA100</t>
  </si>
  <si>
    <t>TLPEO100</t>
  </si>
  <si>
    <t>TMHUV001</t>
  </si>
  <si>
    <t>TMRAC002</t>
  </si>
  <si>
    <t>TMSHO100</t>
  </si>
  <si>
    <t>TMVIA100</t>
  </si>
  <si>
    <t>TNTIB100</t>
  </si>
  <si>
    <t>TOCAC002</t>
  </si>
  <si>
    <t>TOCHA101</t>
  </si>
  <si>
    <t>TOSAI100</t>
  </si>
  <si>
    <t>TPEGN001</t>
  </si>
  <si>
    <t>TPIBS100</t>
  </si>
  <si>
    <t>TPTIR100</t>
  </si>
  <si>
    <t>ASESO040</t>
  </si>
  <si>
    <t>ASESO074</t>
  </si>
  <si>
    <t>ASESO082</t>
  </si>
  <si>
    <t>ASESO114</t>
  </si>
  <si>
    <t>ASESO261</t>
  </si>
  <si>
    <t>ASESO270</t>
  </si>
  <si>
    <t>ASESO324</t>
  </si>
  <si>
    <t>ASESO329</t>
  </si>
  <si>
    <t>ASESO75</t>
  </si>
  <si>
    <t>ASESO82</t>
  </si>
  <si>
    <t>TAALM100</t>
  </si>
  <si>
    <t>TACHA103</t>
  </si>
  <si>
    <t>TACUS002</t>
  </si>
  <si>
    <t>TAMEE001</t>
  </si>
  <si>
    <t>TAPAM101</t>
  </si>
  <si>
    <t>TAPOA100</t>
  </si>
  <si>
    <t>TATRF100</t>
  </si>
  <si>
    <t>TAULG100</t>
  </si>
  <si>
    <t>TBPAR100</t>
  </si>
  <si>
    <t>TCSAG100</t>
  </si>
  <si>
    <t>TCSAT100</t>
  </si>
  <si>
    <t>TDPAP100</t>
  </si>
  <si>
    <t>TEBIB001</t>
  </si>
  <si>
    <t>TECUU100</t>
  </si>
  <si>
    <t>TEDIC100</t>
  </si>
  <si>
    <t>TEILS100</t>
  </si>
  <si>
    <t>TELLR100</t>
  </si>
  <si>
    <t>TEPIC101</t>
  </si>
  <si>
    <t>TESER100</t>
  </si>
  <si>
    <t>TETOR001</t>
  </si>
  <si>
    <t>TFFLQ101</t>
  </si>
  <si>
    <t>TFTOS100</t>
  </si>
  <si>
    <t>THCUC100</t>
  </si>
  <si>
    <t>THORA100</t>
  </si>
  <si>
    <t>THPOC002</t>
  </si>
  <si>
    <t>TISOC100</t>
  </si>
  <si>
    <t>TJACN002</t>
  </si>
  <si>
    <t>TJAZG100</t>
  </si>
  <si>
    <t>TJCAS103</t>
  </si>
  <si>
    <t>TJCHR102</t>
  </si>
  <si>
    <t>TJGUJ002</t>
  </si>
  <si>
    <t>TJHUZ100</t>
  </si>
  <si>
    <t>TJMAB001</t>
  </si>
  <si>
    <t>TJMUG001</t>
  </si>
  <si>
    <t>TJPEV100</t>
  </si>
  <si>
    <t>TJQUC005</t>
  </si>
  <si>
    <t>TJREA100</t>
  </si>
  <si>
    <t>TJRUM100</t>
  </si>
  <si>
    <t>TJVEL102</t>
  </si>
  <si>
    <t>TJYOS100</t>
  </si>
  <si>
    <t>TKCAG100</t>
  </si>
  <si>
    <t>TKCAV004</t>
  </si>
  <si>
    <t>TKJAR100</t>
  </si>
  <si>
    <t>TLBEC100</t>
  </si>
  <si>
    <t>TMABH100</t>
  </si>
  <si>
    <t>TMLAI001</t>
  </si>
  <si>
    <t>TMLET001</t>
  </si>
  <si>
    <t>TMTIL001</t>
  </si>
  <si>
    <t>TNGAE001</t>
  </si>
  <si>
    <t>TRBEJ100</t>
  </si>
  <si>
    <t>TRBRJ100</t>
  </si>
  <si>
    <t>TRENF001</t>
  </si>
  <si>
    <t>TRPAB100</t>
  </si>
  <si>
    <t>TRVAA100</t>
  </si>
  <si>
    <t>TSROG001</t>
  </si>
  <si>
    <t>TSSAG101</t>
  </si>
  <si>
    <t>TTAVH100</t>
  </si>
  <si>
    <t>TVRUR001</t>
  </si>
  <si>
    <t>TWCAC100</t>
  </si>
  <si>
    <t>ASESO017</t>
  </si>
  <si>
    <t>ASESO042</t>
  </si>
  <si>
    <t>ASESO051</t>
  </si>
  <si>
    <t>ASESO111</t>
  </si>
  <si>
    <t>ASESO120</t>
  </si>
  <si>
    <t>ASESO160</t>
  </si>
  <si>
    <t>ASESO202</t>
  </si>
  <si>
    <t>ASESO267</t>
  </si>
  <si>
    <t>ASESO296</t>
  </si>
  <si>
    <t>ASESO321</t>
  </si>
  <si>
    <t>TBALE100</t>
  </si>
  <si>
    <t>TBDAT100</t>
  </si>
  <si>
    <t>TBGUC001</t>
  </si>
  <si>
    <t>TBMAC101</t>
  </si>
  <si>
    <t>TCRIR100</t>
  </si>
  <si>
    <t>TDCAH100</t>
  </si>
  <si>
    <t>TDCAM101</t>
  </si>
  <si>
    <t>TDYBL100</t>
  </si>
  <si>
    <t>TEARR002</t>
  </si>
  <si>
    <t>TECAR104</t>
  </si>
  <si>
    <t>TECOS101</t>
  </si>
  <si>
    <t>TEDIM100</t>
  </si>
  <si>
    <t>TESAP003</t>
  </si>
  <si>
    <t>TFBUZ001</t>
  </si>
  <si>
    <t>TFGUP001</t>
  </si>
  <si>
    <t>TGNIC100</t>
  </si>
  <si>
    <t>THJUA003</t>
  </si>
  <si>
    <t>THPAL101</t>
  </si>
  <si>
    <t>TIFLL100</t>
  </si>
  <si>
    <t>TIVAF001</t>
  </si>
  <si>
    <t>TJALV102</t>
  </si>
  <si>
    <t>TJAMR100</t>
  </si>
  <si>
    <t>TJANP100</t>
  </si>
  <si>
    <t>TJBAN100</t>
  </si>
  <si>
    <t>TJCHG100</t>
  </si>
  <si>
    <t>TJHUC102</t>
  </si>
  <si>
    <t>TJHUM100</t>
  </si>
  <si>
    <t>TJLOA001</t>
  </si>
  <si>
    <t>TJMOR101</t>
  </si>
  <si>
    <t>TJPAC105</t>
  </si>
  <si>
    <t>TJREP007</t>
  </si>
  <si>
    <t>TJRIO101</t>
  </si>
  <si>
    <t>TJVAS101</t>
  </si>
  <si>
    <t>TKAGV100</t>
  </si>
  <si>
    <t>TKLAM100</t>
  </si>
  <si>
    <t>TLCAM100</t>
  </si>
  <si>
    <t>TLJIA100</t>
  </si>
  <si>
    <t>TLMOS101</t>
  </si>
  <si>
    <t>TLVIH102</t>
  </si>
  <si>
    <t>TMANY100</t>
  </si>
  <si>
    <t>TMCAG008</t>
  </si>
  <si>
    <t>TMCON002</t>
  </si>
  <si>
    <t>TMHUC104</t>
  </si>
  <si>
    <t>TMPAC102</t>
  </si>
  <si>
    <t>TMSAO100</t>
  </si>
  <si>
    <t>TMSAV006</t>
  </si>
  <si>
    <t>TNBEM100</t>
  </si>
  <si>
    <t>TNBEZ100</t>
  </si>
  <si>
    <t>TNCAC003</t>
  </si>
  <si>
    <t>TPMER100</t>
  </si>
  <si>
    <t>TRAYM100</t>
  </si>
  <si>
    <t>TRCRA100</t>
  </si>
  <si>
    <t>TRENE100</t>
  </si>
  <si>
    <t>TRHUA003</t>
  </si>
  <si>
    <t>TRRAL100</t>
  </si>
  <si>
    <t>TRREI100</t>
  </si>
  <si>
    <t>TRROB100</t>
  </si>
  <si>
    <t>TSFLC100</t>
  </si>
  <si>
    <t>TSGAC100</t>
  </si>
  <si>
    <t>TVCAR101</t>
  </si>
  <si>
    <t>TWPEH001</t>
  </si>
  <si>
    <t>TYARR100</t>
  </si>
  <si>
    <t>TYGAR100</t>
  </si>
  <si>
    <t>TYSAP003</t>
  </si>
  <si>
    <t>TYSUC001</t>
  </si>
  <si>
    <t>ASESO018</t>
  </si>
  <si>
    <t>ASESO027</t>
  </si>
  <si>
    <t>ASESO122</t>
  </si>
  <si>
    <t>ASESO151</t>
  </si>
  <si>
    <t>ASESO213</t>
  </si>
  <si>
    <t>ASESO25</t>
  </si>
  <si>
    <t>ASESO282</t>
  </si>
  <si>
    <t>ASESO290</t>
  </si>
  <si>
    <t>ASESO295</t>
  </si>
  <si>
    <t>ASESO312</t>
  </si>
  <si>
    <t>ASESO322</t>
  </si>
  <si>
    <t>ASESO73</t>
  </si>
  <si>
    <t>TAANR100</t>
  </si>
  <si>
    <t>TADEG001</t>
  </si>
  <si>
    <t>TAHUA102</t>
  </si>
  <si>
    <t>TAMES102</t>
  </si>
  <si>
    <t>TASAA102</t>
  </si>
  <si>
    <t>TBAGC101</t>
  </si>
  <si>
    <t>TBLAA100</t>
  </si>
  <si>
    <t>TCBLA100</t>
  </si>
  <si>
    <t>TCBUC002</t>
  </si>
  <si>
    <t>TCCAG002</t>
  </si>
  <si>
    <t>TCMIJ100</t>
  </si>
  <si>
    <t>TCPUD100</t>
  </si>
  <si>
    <t>TDCOP001</t>
  </si>
  <si>
    <t>TDRAA001</t>
  </si>
  <si>
    <t>TECOT100</t>
  </si>
  <si>
    <t>TEHIZ001</t>
  </si>
  <si>
    <t>TEMAC006</t>
  </si>
  <si>
    <t>TETAZ100</t>
  </si>
  <si>
    <t>TEVID001</t>
  </si>
  <si>
    <t>TFCHT100</t>
  </si>
  <si>
    <t>TFJUE100</t>
  </si>
  <si>
    <t>TFROM100</t>
  </si>
  <si>
    <t>TGACC001</t>
  </si>
  <si>
    <t>TGCAM002</t>
  </si>
  <si>
    <t>TGDUC100</t>
  </si>
  <si>
    <t>TGSOC100</t>
  </si>
  <si>
    <t>TIACT100</t>
  </si>
  <si>
    <t>TJESP100</t>
  </si>
  <si>
    <t>TJFLF100</t>
  </si>
  <si>
    <t>TJFLH100</t>
  </si>
  <si>
    <t>TJGUL100</t>
  </si>
  <si>
    <t>TJHIQ001</t>
  </si>
  <si>
    <t>TJOSZ001</t>
  </si>
  <si>
    <t>TJROM101</t>
  </si>
  <si>
    <t>TJSAE100</t>
  </si>
  <si>
    <t>TJVAR102</t>
  </si>
  <si>
    <t>TJVEE100</t>
  </si>
  <si>
    <t>TJVIM001</t>
  </si>
  <si>
    <t>TKAYQ100</t>
  </si>
  <si>
    <t>TLARV002</t>
  </si>
  <si>
    <t>TLGUF100</t>
  </si>
  <si>
    <t>TLLOV002</t>
  </si>
  <si>
    <t>TLPUH100</t>
  </si>
  <si>
    <t>TLQUS101</t>
  </si>
  <si>
    <t>TLROV100</t>
  </si>
  <si>
    <t>TLTAR001</t>
  </si>
  <si>
    <t>TLTOC100</t>
  </si>
  <si>
    <t>TLVAS100</t>
  </si>
  <si>
    <t>TMBAJ100</t>
  </si>
  <si>
    <t>TMGOZ100</t>
  </si>
  <si>
    <t>TMGUG100</t>
  </si>
  <si>
    <t>TMJIL100</t>
  </si>
  <si>
    <t>TMPIO100</t>
  </si>
  <si>
    <t>TMQUR100</t>
  </si>
  <si>
    <t>TNHUE100</t>
  </si>
  <si>
    <t>TNPUQ001</t>
  </si>
  <si>
    <t>TOMAV100</t>
  </si>
  <si>
    <t>TRBED100</t>
  </si>
  <si>
    <t>TRCOZ100</t>
  </si>
  <si>
    <t>TRSUM001</t>
  </si>
  <si>
    <t>TSDEC100</t>
  </si>
  <si>
    <t>TSHUF001</t>
  </si>
  <si>
    <t>TSLLC003</t>
  </si>
  <si>
    <t>TSMEN100</t>
  </si>
  <si>
    <t>TSVAJ100</t>
  </si>
  <si>
    <t>TTSOC100</t>
  </si>
  <si>
    <t>TTTOE100</t>
  </si>
  <si>
    <t>TVCOV100</t>
  </si>
  <si>
    <t>TVGUL100</t>
  </si>
  <si>
    <t>TVVEO100</t>
  </si>
  <si>
    <t>TWVEB101</t>
  </si>
  <si>
    <t>TYALV100</t>
  </si>
  <si>
    <t>ASESO016</t>
  </si>
  <si>
    <t>ASESO021</t>
  </si>
  <si>
    <t>ASESO052</t>
  </si>
  <si>
    <t>ASESO16</t>
  </si>
  <si>
    <t>ASESO176</t>
  </si>
  <si>
    <t>ASESO186</t>
  </si>
  <si>
    <t>ASESO201</t>
  </si>
  <si>
    <t>ASESO241</t>
  </si>
  <si>
    <t>ASESO280</t>
  </si>
  <si>
    <t>ASESO303</t>
  </si>
  <si>
    <t>ASESO310</t>
  </si>
  <si>
    <t>ASESO32</t>
  </si>
  <si>
    <t>ASESO345</t>
  </si>
  <si>
    <t>ASESO59</t>
  </si>
  <si>
    <t>TACHC003</t>
  </si>
  <si>
    <t>TAMAL001</t>
  </si>
  <si>
    <t>TAPAC101</t>
  </si>
  <si>
    <t>TBCHR001</t>
  </si>
  <si>
    <t>TCMOM101</t>
  </si>
  <si>
    <t>TCPAR004</t>
  </si>
  <si>
    <t>TDHUL001</t>
  </si>
  <si>
    <t>TDTUM001</t>
  </si>
  <si>
    <t>TEALZ001</t>
  </si>
  <si>
    <t>TEASH100</t>
  </si>
  <si>
    <t>TECOC102</t>
  </si>
  <si>
    <t>TECUR003</t>
  </si>
  <si>
    <t>TEHUB100</t>
  </si>
  <si>
    <t>TEHUH100</t>
  </si>
  <si>
    <t>TEJAA100</t>
  </si>
  <si>
    <t>TEVEC101</t>
  </si>
  <si>
    <t>TEVIA002</t>
  </si>
  <si>
    <t>TFCOH001</t>
  </si>
  <si>
    <t>TFFIF001</t>
  </si>
  <si>
    <t>TFHUG100</t>
  </si>
  <si>
    <t>TGBEL001</t>
  </si>
  <si>
    <t>TGTOE100</t>
  </si>
  <si>
    <t>THQUA100</t>
  </si>
  <si>
    <t>TIFEP100</t>
  </si>
  <si>
    <t>TIPAC100</t>
  </si>
  <si>
    <t>TJAGG100</t>
  </si>
  <si>
    <t>TJALM100</t>
  </si>
  <si>
    <t>TJBAP100</t>
  </si>
  <si>
    <t>TJHUA104</t>
  </si>
  <si>
    <t>TJQUD100</t>
  </si>
  <si>
    <t>TJVAG101</t>
  </si>
  <si>
    <t>TJVIP001</t>
  </si>
  <si>
    <t>TJYAG100</t>
  </si>
  <si>
    <t>TKCAV100</t>
  </si>
  <si>
    <t>TKCEP100</t>
  </si>
  <si>
    <t>TKMAM002</t>
  </si>
  <si>
    <t>TLCAP100</t>
  </si>
  <si>
    <t>TLMAC001</t>
  </si>
  <si>
    <t>TLPRP100</t>
  </si>
  <si>
    <t>TLVAA100</t>
  </si>
  <si>
    <t>TMBUG001</t>
  </si>
  <si>
    <t>TMLOA101</t>
  </si>
  <si>
    <t>TMMUG100</t>
  </si>
  <si>
    <t>TMORP100</t>
  </si>
  <si>
    <t>TMPUG001</t>
  </si>
  <si>
    <t>TMVAS002</t>
  </si>
  <si>
    <t>TNDET100</t>
  </si>
  <si>
    <t>TNMEG101</t>
  </si>
  <si>
    <t>TRATF101</t>
  </si>
  <si>
    <t>TRCOC101</t>
  </si>
  <si>
    <t>TRZED100</t>
  </si>
  <si>
    <t>TSTIP100</t>
  </si>
  <si>
    <t>TVMAR100</t>
  </si>
  <si>
    <t>TVSAT100</t>
  </si>
  <si>
    <t>TVUNU100</t>
  </si>
  <si>
    <t>TWGUS100</t>
  </si>
  <si>
    <t>ASESO011</t>
  </si>
  <si>
    <t>ASESO032</t>
  </si>
  <si>
    <t>ASESO070</t>
  </si>
  <si>
    <t>ASESO133</t>
  </si>
  <si>
    <t>ASESO140</t>
  </si>
  <si>
    <t>ASESO163</t>
  </si>
  <si>
    <t>ASESO17</t>
  </si>
  <si>
    <t>ASESO183</t>
  </si>
  <si>
    <t>ASESO223</t>
  </si>
  <si>
    <t>ASESO284</t>
  </si>
  <si>
    <t>ASESO33</t>
  </si>
  <si>
    <t>ASESO347</t>
  </si>
  <si>
    <t>ASESO362</t>
  </si>
  <si>
    <t>ASESO54</t>
  </si>
  <si>
    <t>ASESO70</t>
  </si>
  <si>
    <t>TAALI001</t>
  </si>
  <si>
    <t>TALUR100</t>
  </si>
  <si>
    <t>TBCAB100</t>
  </si>
  <si>
    <t>TBFER001</t>
  </si>
  <si>
    <t>TCALI001</t>
  </si>
  <si>
    <t>TCCOC002</t>
  </si>
  <si>
    <t>TCGUG001</t>
  </si>
  <si>
    <t>TCZUR001</t>
  </si>
  <si>
    <t>TDARY101</t>
  </si>
  <si>
    <t>TDCOR001</t>
  </si>
  <si>
    <t>TDHUC002</t>
  </si>
  <si>
    <t>TDQUT100</t>
  </si>
  <si>
    <t>TECHA002</t>
  </si>
  <si>
    <t>TEESF100</t>
  </si>
  <si>
    <t>TEHEQ001</t>
  </si>
  <si>
    <t>TEPAC100</t>
  </si>
  <si>
    <t>TEURM100</t>
  </si>
  <si>
    <t>TFCAB101</t>
  </si>
  <si>
    <t>TFZAM100</t>
  </si>
  <si>
    <t>THPAC001</t>
  </si>
  <si>
    <t>THSAQ100</t>
  </si>
  <si>
    <t>TIHUP100</t>
  </si>
  <si>
    <t>TISAL100</t>
  </si>
  <si>
    <t>TJAQV100</t>
  </si>
  <si>
    <t>TJCOC105</t>
  </si>
  <si>
    <t>TJDAS001</t>
  </si>
  <si>
    <t>TJFLC102</t>
  </si>
  <si>
    <t>TJMUH100</t>
  </si>
  <si>
    <t>TJPES001</t>
  </si>
  <si>
    <t>TJSAM102</t>
  </si>
  <si>
    <t>TKGRF001</t>
  </si>
  <si>
    <t>TLGUC100</t>
  </si>
  <si>
    <t>TLISB001</t>
  </si>
  <si>
    <t>TLLIA001</t>
  </si>
  <si>
    <t>TLPAG100</t>
  </si>
  <si>
    <t>TLREH001</t>
  </si>
  <si>
    <t>TMALA003</t>
  </si>
  <si>
    <t>TMCHP100</t>
  </si>
  <si>
    <t>TMGOV100</t>
  </si>
  <si>
    <t>TMLAN100</t>
  </si>
  <si>
    <t>TMMUM001</t>
  </si>
  <si>
    <t>TMTRS100</t>
  </si>
  <si>
    <t>TPMAD100</t>
  </si>
  <si>
    <t>TRACM002</t>
  </si>
  <si>
    <t>TRCAB100</t>
  </si>
  <si>
    <t>TRHUA100</t>
  </si>
  <si>
    <t>TRSAO100</t>
  </si>
  <si>
    <t>TSGAG001</t>
  </si>
  <si>
    <t>TSHUM102</t>
  </si>
  <si>
    <t>TSZEH100</t>
  </si>
  <si>
    <t>TTDIR100</t>
  </si>
  <si>
    <t>TTSIB100</t>
  </si>
  <si>
    <t>TVMAA100</t>
  </si>
  <si>
    <t>TWDAC100</t>
  </si>
  <si>
    <t>TWFLC100</t>
  </si>
  <si>
    <t>TYMAL100</t>
  </si>
  <si>
    <t>TYMOY001</t>
  </si>
  <si>
    <t>ASESO014</t>
  </si>
  <si>
    <t>ASESO023</t>
  </si>
  <si>
    <t>ASESO033</t>
  </si>
  <si>
    <t>ASESO043</t>
  </si>
  <si>
    <t>ASESO132</t>
  </si>
  <si>
    <t>ASESO178</t>
  </si>
  <si>
    <t>ASESO184</t>
  </si>
  <si>
    <t>ASESO203</t>
  </si>
  <si>
    <t>ASESO220</t>
  </si>
  <si>
    <t>ASESO222</t>
  </si>
  <si>
    <t>ASESO234</t>
  </si>
  <si>
    <t>ASESO283</t>
  </si>
  <si>
    <t>ASESO30</t>
  </si>
  <si>
    <t>ASESO301</t>
  </si>
  <si>
    <t>ASESO313</t>
  </si>
  <si>
    <t>ASESO317</t>
  </si>
  <si>
    <t>ASESO320</t>
  </si>
  <si>
    <t>ASESO34</t>
  </si>
  <si>
    <t>ASESO348</t>
  </si>
  <si>
    <t>ASESO351</t>
  </si>
  <si>
    <t>ASESO71</t>
  </si>
  <si>
    <t>TABEG100</t>
  </si>
  <si>
    <t>TAGUO001</t>
  </si>
  <si>
    <t>TAMOA101</t>
  </si>
  <si>
    <t>TARAB002</t>
  </si>
  <si>
    <t>TAVAR001</t>
  </si>
  <si>
    <t>TBANE001</t>
  </si>
  <si>
    <t>TCVET100</t>
  </si>
  <si>
    <t>TDPOS100</t>
  </si>
  <si>
    <t>TDVAD003</t>
  </si>
  <si>
    <t>TECAA004</t>
  </si>
  <si>
    <t>TEHEM101</t>
  </si>
  <si>
    <t>TEHUS100</t>
  </si>
  <si>
    <t>TFMEB100</t>
  </si>
  <si>
    <t>TFMUC001</t>
  </si>
  <si>
    <t>TGVEB001</t>
  </si>
  <si>
    <t>THAG100</t>
  </si>
  <si>
    <t>THAGS001</t>
  </si>
  <si>
    <t>THCOR100</t>
  </si>
  <si>
    <t>THFLR001</t>
  </si>
  <si>
    <t>THQUL100</t>
  </si>
  <si>
    <t>TICUQ100</t>
  </si>
  <si>
    <t>TJBAA002</t>
  </si>
  <si>
    <t>TJBEL001</t>
  </si>
  <si>
    <t>TJCAU100</t>
  </si>
  <si>
    <t>TJCES100</t>
  </si>
  <si>
    <t>TJCOH101</t>
  </si>
  <si>
    <t>TJMAP101</t>
  </si>
  <si>
    <t>TJMEM102</t>
  </si>
  <si>
    <t>TJMOS101</t>
  </si>
  <si>
    <t>TJPAG100</t>
  </si>
  <si>
    <t>TJPAV001</t>
  </si>
  <si>
    <t>TJROC001</t>
  </si>
  <si>
    <t>TJROV100</t>
  </si>
  <si>
    <t>TJVAQ001</t>
  </si>
  <si>
    <t>TJYUS001</t>
  </si>
  <si>
    <t>TKHUG100</t>
  </si>
  <si>
    <t>TKNUM100</t>
  </si>
  <si>
    <t>TLBEN100</t>
  </si>
  <si>
    <t>TLCCM003</t>
  </si>
  <si>
    <t>TLLIC100</t>
  </si>
  <si>
    <t>TLNAC100</t>
  </si>
  <si>
    <t>TLSAL100</t>
  </si>
  <si>
    <t>TMCEV100</t>
  </si>
  <si>
    <t>TMCOM100</t>
  </si>
  <si>
    <t>TMCRM100</t>
  </si>
  <si>
    <t>TMINN100</t>
  </si>
  <si>
    <t>TMMAH002</t>
  </si>
  <si>
    <t>TMRIV100</t>
  </si>
  <si>
    <t>TMVAV100</t>
  </si>
  <si>
    <t>TNCAM101</t>
  </si>
  <si>
    <t>TNFLM100</t>
  </si>
  <si>
    <t>TNTEA100</t>
  </si>
  <si>
    <t>TOAQZ001</t>
  </si>
  <si>
    <t>TOSAS004</t>
  </si>
  <si>
    <t>TRBAC101</t>
  </si>
  <si>
    <t>TRCAM100</t>
  </si>
  <si>
    <t>TRCAS001</t>
  </si>
  <si>
    <t>TRGOA100</t>
  </si>
  <si>
    <t>TRHUL101</t>
  </si>
  <si>
    <t>ASESO057</t>
  </si>
  <si>
    <t>ASESO058</t>
  </si>
  <si>
    <t>ASESO10</t>
  </si>
  <si>
    <t>ASESO11</t>
  </si>
  <si>
    <t>ASESO143</t>
  </si>
  <si>
    <t>ASESO153</t>
  </si>
  <si>
    <t>ASESO170</t>
  </si>
  <si>
    <t>ASESO265</t>
  </si>
  <si>
    <t>ASESO273</t>
  </si>
  <si>
    <t>ASESO334</t>
  </si>
  <si>
    <t>TACOC103</t>
  </si>
  <si>
    <t>TAMEC100</t>
  </si>
  <si>
    <t>TAMEP003</t>
  </si>
  <si>
    <t>TAQUC100</t>
  </si>
  <si>
    <t>TAQUQ101</t>
  </si>
  <si>
    <t>TARAP002</t>
  </si>
  <si>
    <t>TBLOC100</t>
  </si>
  <si>
    <t>TCCUM101</t>
  </si>
  <si>
    <t>TCHEB100</t>
  </si>
  <si>
    <t>TCHIA100</t>
  </si>
  <si>
    <t>TDGAO100</t>
  </si>
  <si>
    <t>TDTOA100</t>
  </si>
  <si>
    <t>TEATR100</t>
  </si>
  <si>
    <t>TECHC102</t>
  </si>
  <si>
    <t>TEMAL001</t>
  </si>
  <si>
    <t>TEPIM100</t>
  </si>
  <si>
    <t>TERUB100</t>
  </si>
  <si>
    <t>TESAC104</t>
  </si>
  <si>
    <t>TESUF100</t>
  </si>
  <si>
    <t>TEVAP001</t>
  </si>
  <si>
    <t>TFCAH100</t>
  </si>
  <si>
    <t>TFRAM100</t>
  </si>
  <si>
    <t>TGZAH100</t>
  </si>
  <si>
    <t>THJIB001</t>
  </si>
  <si>
    <t>THTOM001</t>
  </si>
  <si>
    <t>TIQUO100</t>
  </si>
  <si>
    <t>TJACA100</t>
  </si>
  <si>
    <t>TJAMD001</t>
  </si>
  <si>
    <t>TJAYP002</t>
  </si>
  <si>
    <t>TJCAT100</t>
  </si>
  <si>
    <t>TJCAV002</t>
  </si>
  <si>
    <t>TJFEC100</t>
  </si>
  <si>
    <t>TJLOC101</t>
  </si>
  <si>
    <t>TJNIV100</t>
  </si>
  <si>
    <t>TJPAC107</t>
  </si>
  <si>
    <t>TJPUP100</t>
  </si>
  <si>
    <t>TJREF100</t>
  </si>
  <si>
    <t>TKBEB100</t>
  </si>
  <si>
    <t>TKHUT001</t>
  </si>
  <si>
    <t>TKLAC101</t>
  </si>
  <si>
    <t>TKMEL101</t>
  </si>
  <si>
    <t>TKMEV100</t>
  </si>
  <si>
    <t>TLCAA101</t>
  </si>
  <si>
    <t>TLSUM001</t>
  </si>
  <si>
    <t>TLVAG101</t>
  </si>
  <si>
    <t>TLVIA100</t>
  </si>
  <si>
    <t>TLZAP001</t>
  </si>
  <si>
    <t>TMAUC001</t>
  </si>
  <si>
    <t>TMBAC101</t>
  </si>
  <si>
    <t>TMBAH101</t>
  </si>
  <si>
    <t>TMGAH100</t>
  </si>
  <si>
    <t>TMHOA100</t>
  </si>
  <si>
    <t>TMJIQ100</t>
  </si>
  <si>
    <t>TMLIB100</t>
  </si>
  <si>
    <t>TMLIC100</t>
  </si>
  <si>
    <t>TMMET100</t>
  </si>
  <si>
    <t>TMMOF100</t>
  </si>
  <si>
    <t>TMROM100</t>
  </si>
  <si>
    <t>TMYAL002</t>
  </si>
  <si>
    <t>TNCOL101</t>
  </si>
  <si>
    <t>TPFLO001</t>
  </si>
  <si>
    <t>TRPAA101</t>
  </si>
  <si>
    <t>TRPER101</t>
  </si>
  <si>
    <t>TRQUN001</t>
  </si>
  <si>
    <t>TRRUC100</t>
  </si>
  <si>
    <t>TSBEB100</t>
  </si>
  <si>
    <t>TSCAS100</t>
  </si>
  <si>
    <t>TSILC001</t>
  </si>
  <si>
    <t>TSRAR001</t>
  </si>
  <si>
    <t>TTATS100</t>
  </si>
  <si>
    <t>TWFEV100</t>
  </si>
  <si>
    <t>TWLIV001</t>
  </si>
  <si>
    <t>TWQUM100</t>
  </si>
  <si>
    <t>TWSUN100</t>
  </si>
  <si>
    <t>TYCUA100</t>
  </si>
  <si>
    <t>TYLOQ100</t>
  </si>
  <si>
    <t>TYSAM101</t>
  </si>
  <si>
    <t>TYTEC100</t>
  </si>
  <si>
    <t>TYTOR100</t>
  </si>
  <si>
    <t>TZGAM001</t>
  </si>
  <si>
    <t>TVSAS100</t>
  </si>
  <si>
    <t>TWBAG001</t>
  </si>
  <si>
    <t>TYALS100</t>
  </si>
  <si>
    <t>TYQUM100</t>
  </si>
  <si>
    <t>TSCOR100</t>
  </si>
  <si>
    <t>TSHUR100</t>
  </si>
  <si>
    <t>TSTOC100</t>
  </si>
  <si>
    <t>TVCHS001</t>
  </si>
  <si>
    <t>TWGIF100</t>
  </si>
  <si>
    <t>TYCAP001</t>
  </si>
  <si>
    <t>TYUZG001</t>
  </si>
  <si>
    <t>TYVEH101</t>
  </si>
  <si>
    <t>TVESA100</t>
  </si>
  <si>
    <t>TVTUQ100</t>
  </si>
  <si>
    <t>TVVIV100</t>
  </si>
  <si>
    <t>TWARA002</t>
  </si>
  <si>
    <t>TWSAG100</t>
  </si>
  <si>
    <t>TWSEM102</t>
  </si>
  <si>
    <t>TYCAC004</t>
  </si>
  <si>
    <t>TYCAH101</t>
  </si>
  <si>
    <t>TYPEC101</t>
  </si>
  <si>
    <t>TYSEC100</t>
  </si>
  <si>
    <t>TYSOT100</t>
  </si>
  <si>
    <t>TYYAT101</t>
  </si>
  <si>
    <t>TVGOR001</t>
  </si>
  <si>
    <t>TVRAV100</t>
  </si>
  <si>
    <t>TWCAL001</t>
  </si>
  <si>
    <t>TYCAC100</t>
  </si>
  <si>
    <t>TYFLL100</t>
  </si>
  <si>
    <t>TYMEV001</t>
  </si>
  <si>
    <t>TYPUC001</t>
  </si>
  <si>
    <t>TYMAG101</t>
  </si>
  <si>
    <t>TYPAL101</t>
  </si>
  <si>
    <t>TYREY100</t>
  </si>
  <si>
    <t>TYALL100</t>
  </si>
  <si>
    <t>TYAPS100</t>
  </si>
  <si>
    <t>TYAYA001</t>
  </si>
  <si>
    <t>TYFIM100</t>
  </si>
  <si>
    <t>TYQUJ101</t>
  </si>
  <si>
    <t>TYVIQ002</t>
  </si>
  <si>
    <t>TZQUV100</t>
  </si>
  <si>
    <t>TRHUA101</t>
  </si>
  <si>
    <t>TRHUC002</t>
  </si>
  <si>
    <t>TRRII100</t>
  </si>
  <si>
    <t>TRSAA100</t>
  </si>
  <si>
    <t>TSDIR100</t>
  </si>
  <si>
    <t>TWFUH100</t>
  </si>
  <si>
    <t>TXRIJ100</t>
  </si>
  <si>
    <t>TYMAC101</t>
  </si>
  <si>
    <t>TYMAG100</t>
  </si>
  <si>
    <t>TYMOR100</t>
  </si>
  <si>
    <t>TYROH001</t>
  </si>
  <si>
    <t>TYFEM100</t>
  </si>
  <si>
    <t>TZAJM100</t>
  </si>
  <si>
    <t>TYANH100</t>
  </si>
  <si>
    <t>TYCAA002</t>
  </si>
  <si>
    <t>TYCIR001</t>
  </si>
  <si>
    <t>TZGOS001</t>
  </si>
  <si>
    <t>TRJAF101</t>
  </si>
  <si>
    <t>TTRIB101</t>
  </si>
  <si>
    <t>TVCCI001</t>
  </si>
  <si>
    <t>TVROB001</t>
  </si>
  <si>
    <t>TWGOO100</t>
  </si>
  <si>
    <t>TSECR001</t>
  </si>
  <si>
    <t>TSRAV101</t>
  </si>
  <si>
    <t>TSTOP001</t>
  </si>
  <si>
    <t>TTVEC001</t>
  </si>
  <si>
    <t>TVBOS100</t>
  </si>
  <si>
    <t>TVMUP100</t>
  </si>
  <si>
    <t>TWJUA100</t>
  </si>
  <si>
    <t>TWNOP001</t>
  </si>
  <si>
    <t>TWSIA100</t>
  </si>
  <si>
    <t>TWTOP100</t>
  </si>
  <si>
    <t>TWVAG100</t>
  </si>
  <si>
    <t>TXGAR001</t>
  </si>
  <si>
    <t>TYHUR001</t>
  </si>
  <si>
    <t>TYSUB100</t>
  </si>
  <si>
    <t>use storage;</t>
  </si>
  <si>
    <t>go</t>
  </si>
  <si>
    <t>declare @fech date ='20250930'</t>
  </si>
  <si>
    <t xml:space="preserve">select top 2 RFEC,ROW_NUMBER()over(order by rfec desc) ord </t>
  </si>
  <si>
    <t>into #fec  --select* from #fec  update #fec set rfec='20250927' where ord=1  update #fec set rfec='20250830' where ord=2</t>
  </si>
  <si>
    <t xml:space="preserve">from storage.ref.RCALEN001 </t>
  </si>
  <si>
    <t>where RFEC&lt;=@fech and RCIEBT=1 order by RFEC desc</t>
  </si>
  <si>
    <t>-------------------------</t>
  </si>
  <si>
    <t>IF OBJECT_ID('tempdb..#cart1') IS NOT NULL DROP TABLE #cart1</t>
  </si>
  <si>
    <t xml:space="preserve">create table #cart1( </t>
  </si>
  <si>
    <t>HCODOPE int,</t>
  </si>
  <si>
    <t>HTIPOPE smallint,</t>
  </si>
  <si>
    <t>HNUMDOC varchar(25),</t>
  </si>
  <si>
    <t>HNUMCLI varchar(50),</t>
  </si>
  <si>
    <t>HASEOPER varchar(12),</t>
  </si>
  <si>
    <t xml:space="preserve">HFECPRO date, </t>
  </si>
  <si>
    <t xml:space="preserve">HSALCAPMN numeric (17,2), </t>
  </si>
  <si>
    <t xml:space="preserve">HSALVENMN numeric (17,2), </t>
  </si>
  <si>
    <t xml:space="preserve">HINDCAR varchar(25), </t>
  </si>
  <si>
    <t>HCODORI varchar(12),</t>
  </si>
  <si>
    <t>HCODDES varchar(12),</t>
  </si>
  <si>
    <t>HASEINC varchar(12),</t>
  </si>
  <si>
    <t>ORD smallint )</t>
  </si>
  <si>
    <t>select * into #traslado  --drop table #traslado,#cartera,#CART</t>
  </si>
  <si>
    <t>from storage.com_act.HCTC001  ---select distinct hfecpro from storage.com_act.HCTC001 order by 1 desc</t>
  </si>
  <si>
    <t>where HFECPRO in(select rfec from #fec)</t>
  </si>
  <si>
    <t xml:space="preserve">select HCODOPE,HTIPOPE,HNUMDOC, concat_ws('-',HNUMDOC,HTIPDOC,HPAIS) HNUMCLI,  </t>
  </si>
  <si>
    <t xml:space="preserve">case when (haseoper =null OR haseoper = '--' OR haseoper = 'NULL') then NULL else HASEOPER  end HASEOPER,A.HFECPRO, </t>
  </si>
  <si>
    <t xml:space="preserve">HSALCAPMN, HSALVENMN, HINDCAR,hfecdes </t>
  </si>
  <si>
    <t>into #cartera</t>
  </si>
  <si>
    <t xml:space="preserve">from storage.com_act.HCDA001 A </t>
  </si>
  <si>
    <t>where A.HFECPRO in(select rfec from #fec)</t>
  </si>
  <si>
    <t xml:space="preserve"> </t>
  </si>
  <si>
    <t xml:space="preserve">select b.*, </t>
  </si>
  <si>
    <t>case when (HCODORI = NULL  OR HCODORI = '--' OR HCODORI = 'NULL') then '0' else HCODORI  end HCODORI,</t>
  </si>
  <si>
    <t>case when (HCODDES = NULL OR HCODDES = '--' OR HCODDES = 'NULL') then '0' else HCODDES  end HCODDES</t>
  </si>
  <si>
    <t xml:space="preserve">into #CART  </t>
  </si>
  <si>
    <t xml:space="preserve">from #cartera b   </t>
  </si>
  <si>
    <t xml:space="preserve">left join #traslado a   </t>
  </si>
  <si>
    <t>on    b.HCODOPE=a.HCODOPE and b.HTIPOPE=a.HTIPOPE and b.HFECPRO=a.HFECPRO</t>
  </si>
  <si>
    <t>INSERT INTO #cart1 (</t>
  </si>
  <si>
    <t xml:space="preserve">    HCODOPE, HTIPOPE, HNUMDOC, HNUMCLI, HASEOPER, HFECPRO,</t>
  </si>
  <si>
    <t xml:space="preserve">    HSALCAPMN, HSALVENMN, HINDCAR, HCODORI, HCODDES,</t>
  </si>
  <si>
    <t xml:space="preserve">    HASEINC, ORD</t>
  </si>
  <si>
    <t>)</t>
  </si>
  <si>
    <t>SELECT</t>
  </si>
  <si>
    <t xml:space="preserve">    CASE WHEN HCODORI IS NOT NULL AND HCODORI &lt;&gt; '0' THEN HCODORI ELSE HASEOPER END AS HASEINC,</t>
  </si>
  <si>
    <t xml:space="preserve">    ROW_NUMBER() OVER(PARTITION BY HNUMCLI ORDER BY HCODORI DESC, HCODDES DESC) AS RORD</t>
  </si>
  <si>
    <t>FROM #CART; -- &lt;-- PUNTO Y COMA AÑADIDO POR BUENA PRÁCTICA</t>
  </si>
  <si>
    <t>-- 3. CÁLCULO FINAL CORREGIDO</t>
  </si>
  <si>
    <t>DECLARE @fecha_actual DATE = (SELECT RFEC FROM #fec WHERE ord = 1);</t>
  </si>
  <si>
    <t>DECLARE @fecha_anterior DATE = (SELECT RFEC FROM #fec WHERE ord = 2);</t>
  </si>
  <si>
    <t>WITH ListaAsesores AS (</t>
  </si>
  <si>
    <t xml:space="preserve">    SELECT haseoper AS Asesor FROM #cartera WHERE hfecpro = @fecha_actual AND haseoper IS NOT NULL AND haseoper &gt; ''</t>
  </si>
  <si>
    <t xml:space="preserve">    UNION</t>
  </si>
  <si>
    <t xml:space="preserve">    SELECT HCODORI FROM #cart1 WHERE hfecpro = @fecha_actual AND HCODORI IS NOT NULL AND HCODORI &gt; ''</t>
  </si>
  <si>
    <t xml:space="preserve">    SELECT HCODDES FROM #cart1 WHERE hfecpro = @fecha_actual AND HCODDES IS NOT NULL AND HCODDES &gt; ''</t>
  </si>
  <si>
    <t>),</t>
  </si>
  <si>
    <t>CarteraMensual AS (</t>
  </si>
  <si>
    <t xml:space="preserve">    SELECT haseoper, hfecpro, SUM(CASE WHEN hindcar = 'VIGENTE' THEN HSALCAPMN - HSALVENMN ELSE 0 END) AS SaldoCartera</t>
  </si>
  <si>
    <t xml:space="preserve">    FROM #cartera</t>
  </si>
  <si>
    <t xml:space="preserve">    GROUP BY haseoper, hfecpro</t>
  </si>
  <si>
    <t>TrasladosSalida AS (</t>
  </si>
  <si>
    <t xml:space="preserve">    SELECT HCODORI AS Asesor, SUM(CASE WHEN hindcar = 'VIGENTE' THEN HSALCAPMN - HSALVENMN ELSE 0 END) AS MontoSalida</t>
  </si>
  <si>
    <t xml:space="preserve">    FROM #cart1 WHERE hfecpro = @fecha_actual</t>
  </si>
  <si>
    <t xml:space="preserve">    GROUP BY HCODORI</t>
  </si>
  <si>
    <t>TrasladosEntrada AS (</t>
  </si>
  <si>
    <t xml:space="preserve">    SELECT HCODDES AS Asesor, SUM(CASE WHEN hindcar = 'VIGENTE' THEN HSALCAPMN - HSALVENMN ELSE 0 END) AS MontoEntrada</t>
  </si>
  <si>
    <t xml:space="preserve">    GROUP BY HCODDES</t>
  </si>
  <si>
    <t>opedesem AS (</t>
  </si>
  <si>
    <t xml:space="preserve">    SELECT haseoper, COUNT(DISTINCT hcodope) AS hcodopeActual</t>
  </si>
  <si>
    <t xml:space="preserve">    FROM storage.com_act.HCMA001 WHERE hfecpro = @fecha_actual  </t>
  </si>
  <si>
    <t xml:space="preserve">    GROUP BY haseoper</t>
  </si>
  <si>
    <t>opeorigen AS (</t>
  </si>
  <si>
    <t xml:space="preserve">    SELECT hcodori, COUNT(DISTINCT hcodope) AS OperacionesOrigen</t>
  </si>
  <si>
    <t xml:space="preserve">    FROM #traslado WHERE HINDDESEM = 1 AND hfecpro = @fecha_actual  </t>
  </si>
  <si>
    <t xml:space="preserve">    GROUP BY hcodori</t>
  </si>
  <si>
    <t>opedes AS (</t>
  </si>
  <si>
    <t xml:space="preserve">    SELECT HCODDES hcodori, COUNT(DISTINCT hcodope) AS OperacionesDes</t>
  </si>
  <si>
    <t xml:space="preserve">    FROM #traslado WHERE HINDDESEM = 1  AND hfecpro = @fecha_actual  --select * from #traslado where HCODDES='TCALI001'</t>
  </si>
  <si>
    <t>-- =================================================================</t>
  </si>
  <si>
    <t>-- CORRECCIÓN: 'RawData' ahora es una CTE al mismo nivel que las otras</t>
  </si>
  <si>
    <t>RawData31 AS (</t>
  </si>
  <si>
    <t xml:space="preserve">    -- Unimos los datos de las dos tablas</t>
  </si>
  <si>
    <t xml:space="preserve">    SELECT scodsec, SSALRECMN, SSALMAN01MN, SSALINIMN</t>
  </si>
  <si>
    <t xml:space="preserve">    FROM storage.[com_act].[SDAE003]  --select max(sfecpro) from storage.[com_act].[SDAE003] where scodagr=6</t>
  </si>
  <si>
    <t xml:space="preserve">    WHERE sfecpro = @fecha_actual AND scodagr = 6 </t>
  </si>
  <si>
    <t>-- 'CalculoRatioSector' ahora usa la CTE 'RawData' definida justo arriba</t>
  </si>
  <si>
    <t>CalculoRatioSector31 AS (</t>
  </si>
  <si>
    <t xml:space="preserve">    SELECT</t>
  </si>
  <si>
    <t xml:space="preserve">        scodsec AS Asesor, </t>
  </si>
  <si>
    <t xml:space="preserve">        CASE </t>
  </si>
  <si>
    <t xml:space="preserve">            WHEN SUM(ISNULL(SSALINIMN, 0)) = 0 THEN 0 </t>
  </si>
  <si>
    <t xml:space="preserve">            ELSE SUM(ISNULL(SSALRECMN, 0) + ISNULL(SSALMAN01MN, 0)) / SUM(SSALINIMN)</t>
  </si>
  <si>
    <t xml:space="preserve">        END AS RatioRecuperacion</t>
  </si>
  <si>
    <t xml:space="preserve">    FROM RawData31 -- &lt;-- Se usa la CTE anterior</t>
  </si>
  <si>
    <t xml:space="preserve">    GROUP BY scodsec</t>
  </si>
  <si>
    <t>rawdata0 as (</t>
  </si>
  <si>
    <t>SELECT scodsec, SSALRECMN, SSALMAN01MN, SSALINIMN</t>
  </si>
  <si>
    <t xml:space="preserve">    FROM storage.[com_act].[SDAE002]  --select max(sfecpro) from storage.[com_act].[SDAE002] where scodagr=6</t>
  </si>
  <si>
    <t xml:space="preserve">    WHERE sfecpro = @fecha_actual AND scodagr = 6</t>
  </si>
  <si>
    <t>CalculoRatioSector0 AS (</t>
  </si>
  <si>
    <t xml:space="preserve">    FROM rawdata0 -- &lt;-- Se usa la CTE anterior</t>
  </si>
  <si>
    <t xml:space="preserve">    a.Asesor,</t>
  </si>
  <si>
    <t xml:space="preserve">    (ISNULL(c_act.SaldoCartera, 0) - ISNULL(c_ant.SaldoCartera, 0) - ISNULL(te.MontoEntrada, 0) + ISNULL(ts.MontoSalida, 0)) AS VariacionNetaSaldo,</t>
  </si>
  <si>
    <t>--ISNULL(ods.hcodopeActual, 0)hcodopeActual,ISNULL(odes.OperacionesDes, 0) OperacionesDes, ISNULL(oori.OperacionesOrigen, 0)OperacionesOrigen,</t>
  </si>
  <si>
    <t xml:space="preserve">    (ISNULL(ods.hcodopeActual, 0) - ISNULL(odes.OperacionesDes, 0) + ISNULL(oori.OperacionesOrigen, 0)) AS VariacionNetaOperaciones,</t>
  </si>
  <si>
    <t xml:space="preserve">    ISNULL(crss.RatioRecuperacion, 0) AS RatioRecuperacion30_0,ISNULL(crs.RatioRecuperacion, 0) AS RatioRecuperacion1_30</t>
  </si>
  <si>
    <t>into #T</t>
  </si>
  <si>
    <t>FROM</t>
  </si>
  <si>
    <t xml:space="preserve">    ListaAsesores a</t>
  </si>
  <si>
    <t>LEFT JOIN CarteraMensual c_act ON a.Asesor = c_act.haseoper AND c_act.hfecpro = @fecha_actual</t>
  </si>
  <si>
    <t>LEFT JOIN CarteraMensual c_ant ON a.Asesor = c_ant.haseoper AND c_ant.hfecpro = @fecha_anterior</t>
  </si>
  <si>
    <t>LEFT JOIN TrasladosSalida ts ON a.Asesor = ts.Asesor</t>
  </si>
  <si>
    <t>LEFT JOIN TrasladosEntrada te ON a.Asesor = te.Asesor</t>
  </si>
  <si>
    <t>LEFT JOIN opedesem ods ON a.Asesor = ods.haseoper</t>
  </si>
  <si>
    <t>LEFT JOIN opeorigen oori ON a.Asesor = oori.hcodori</t>
  </si>
  <si>
    <t>LEFT JOIN opedes odes ON a.Asesor = odes.hcodori</t>
  </si>
  <si>
    <t>LEFT JOIN CalculoRatioSector31 crs ON a.Asesor = crs.Asesor</t>
  </si>
  <si>
    <t>left join CalculoRatioSector0 crss on a.asesor=crss.asesor</t>
  </si>
  <si>
    <t>ORDER BY</t>
  </si>
  <si>
    <t xml:space="preserve">    a.Asesor;</t>
  </si>
  <si>
    <t xml:space="preserve">select * from #T </t>
  </si>
  <si>
    <t>NULL</t>
  </si>
  <si>
    <t>TAAGL100</t>
  </si>
  <si>
    <t>TABAM100</t>
  </si>
  <si>
    <t>TABEB100</t>
  </si>
  <si>
    <t>TACAS101</t>
  </si>
  <si>
    <t>TACHG102</t>
  </si>
  <si>
    <t>TACHS102</t>
  </si>
  <si>
    <t>TACOF100</t>
  </si>
  <si>
    <t>TAESA100</t>
  </si>
  <si>
    <t>TAFLO100</t>
  </si>
  <si>
    <t>TAHES001</t>
  </si>
  <si>
    <t>TAHUP100</t>
  </si>
  <si>
    <t>TAHUQ100</t>
  </si>
  <si>
    <t>TALOV101</t>
  </si>
  <si>
    <t>TAMOV100</t>
  </si>
  <si>
    <t>TAMUP100</t>
  </si>
  <si>
    <t>TAROR100</t>
  </si>
  <si>
    <t>TAROR103</t>
  </si>
  <si>
    <t>TARUC100</t>
  </si>
  <si>
    <t>TARUN100</t>
  </si>
  <si>
    <t>TASIH100</t>
  </si>
  <si>
    <t>TAVAM100</t>
  </si>
  <si>
    <t>TAVEF100</t>
  </si>
  <si>
    <t>TAVEV100</t>
  </si>
  <si>
    <t>TBENT100</t>
  </si>
  <si>
    <t>TBGUR100</t>
  </si>
  <si>
    <t>TBJAL100</t>
  </si>
  <si>
    <t>TBVED100</t>
  </si>
  <si>
    <t>TCABR100</t>
  </si>
  <si>
    <t>TCBEB100</t>
  </si>
  <si>
    <t>TCCAG101</t>
  </si>
  <si>
    <t>TCCAO102</t>
  </si>
  <si>
    <t>TCESA100</t>
  </si>
  <si>
    <t>TCESS100</t>
  </si>
  <si>
    <t>TCJUM100</t>
  </si>
  <si>
    <t>TCMAH100</t>
  </si>
  <si>
    <t>TCPIG100</t>
  </si>
  <si>
    <t>TCROF100</t>
  </si>
  <si>
    <t>TCSAS102</t>
  </si>
  <si>
    <t>TCVIA100</t>
  </si>
  <si>
    <t>TCVIH001</t>
  </si>
  <si>
    <t>TDAMP100</t>
  </si>
  <si>
    <t>TDARL100</t>
  </si>
  <si>
    <t>TDCAL102</t>
  </si>
  <si>
    <t>TDCOM100</t>
  </si>
  <si>
    <t>TDDAR100</t>
  </si>
  <si>
    <t>TDFLQ100</t>
  </si>
  <si>
    <t>TDHUV100</t>
  </si>
  <si>
    <t>TDSAC101</t>
  </si>
  <si>
    <t>TDSUV100</t>
  </si>
  <si>
    <t>TDTAB100</t>
  </si>
  <si>
    <t>TDTAE100</t>
  </si>
  <si>
    <t>TDZUL100</t>
  </si>
  <si>
    <t>TEALV100</t>
  </si>
  <si>
    <t>TEANH100</t>
  </si>
  <si>
    <t>TECHH102</t>
  </si>
  <si>
    <t>TEDIE100</t>
  </si>
  <si>
    <t>TEFLP100</t>
  </si>
  <si>
    <t>TELEJ100</t>
  </si>
  <si>
    <t>TEMID100</t>
  </si>
  <si>
    <t>TEPAC101</t>
  </si>
  <si>
    <t>TEQUP100</t>
  </si>
  <si>
    <t>TEZAR100</t>
  </si>
  <si>
    <t>TFCUT100</t>
  </si>
  <si>
    <t>TFGUM100</t>
  </si>
  <si>
    <t>TFHUT100</t>
  </si>
  <si>
    <t>TFJUA100</t>
  </si>
  <si>
    <t>TFLIR100</t>
  </si>
  <si>
    <t>TFLOF100</t>
  </si>
  <si>
    <t>TFSAC100</t>
  </si>
  <si>
    <t>TFSAV101</t>
  </si>
  <si>
    <t>TFZAE100</t>
  </si>
  <si>
    <t>TGCEH100</t>
  </si>
  <si>
    <t>TGMAP100</t>
  </si>
  <si>
    <t>TGMET100</t>
  </si>
  <si>
    <t>TGNIH100</t>
  </si>
  <si>
    <t>TGOYG100</t>
  </si>
  <si>
    <t>TGPAC101</t>
  </si>
  <si>
    <t>TGREE100</t>
  </si>
  <si>
    <t>THCHS100</t>
  </si>
  <si>
    <t>THHEF100</t>
  </si>
  <si>
    <t>THNAN100</t>
  </si>
  <si>
    <t>TIFUV100</t>
  </si>
  <si>
    <t>TIIPC100</t>
  </si>
  <si>
    <t>TILEG100</t>
  </si>
  <si>
    <t>TILUF100</t>
  </si>
  <si>
    <t>TIMEV100</t>
  </si>
  <si>
    <t>TIZAN100</t>
  </si>
  <si>
    <t>TJAMV100</t>
  </si>
  <si>
    <t>TJANP101</t>
  </si>
  <si>
    <t>TJBOE100</t>
  </si>
  <si>
    <t>TJBRR100</t>
  </si>
  <si>
    <t>TJBUV100</t>
  </si>
  <si>
    <t>TJCAC105</t>
  </si>
  <si>
    <t>TJCAE101</t>
  </si>
  <si>
    <t>TJCAM106</t>
  </si>
  <si>
    <t>TJCAR102</t>
  </si>
  <si>
    <t>TJCAY101</t>
  </si>
  <si>
    <t>TJCHC102</t>
  </si>
  <si>
    <t>TJCHD101</t>
  </si>
  <si>
    <t>TJCHF100</t>
  </si>
  <si>
    <t>TJCHO101</t>
  </si>
  <si>
    <t>TJCHV100</t>
  </si>
  <si>
    <t>TJCOQ100</t>
  </si>
  <si>
    <t>TJCRQ100</t>
  </si>
  <si>
    <t>TJDEB100</t>
  </si>
  <si>
    <t>TJDEM102</t>
  </si>
  <si>
    <t>TJESF102</t>
  </si>
  <si>
    <t>TJFEH101</t>
  </si>
  <si>
    <t>TJFIT100</t>
  </si>
  <si>
    <t>TJGOM100</t>
  </si>
  <si>
    <t>TJGUV102</t>
  </si>
  <si>
    <t>TJINP100</t>
  </si>
  <si>
    <t>TJJUM101</t>
  </si>
  <si>
    <t>TJLOP101</t>
  </si>
  <si>
    <t>TJMOC102</t>
  </si>
  <si>
    <t>TJMOH102</t>
  </si>
  <si>
    <t>TJMOP101</t>
  </si>
  <si>
    <t>TJMUF100</t>
  </si>
  <si>
    <t>TJNEI100</t>
  </si>
  <si>
    <t>TJNUV101</t>
  </si>
  <si>
    <t>TJOSC100</t>
  </si>
  <si>
    <t>TJPAC108</t>
  </si>
  <si>
    <t>TJPAP100</t>
  </si>
  <si>
    <t>TJPEL102</t>
  </si>
  <si>
    <t>TJRAD101</t>
  </si>
  <si>
    <t>TJRIM102</t>
  </si>
  <si>
    <t>TJROA103</t>
  </si>
  <si>
    <t>TJSAM101</t>
  </si>
  <si>
    <t>TJSAY100</t>
  </si>
  <si>
    <t>TJTOA101</t>
  </si>
  <si>
    <t>TJVAA103</t>
  </si>
  <si>
    <t>TJVAD100</t>
  </si>
  <si>
    <t>TJVAV004</t>
  </si>
  <si>
    <t>TJVAV103</t>
  </si>
  <si>
    <t>TJVEC100</t>
  </si>
  <si>
    <t>TJVIA100</t>
  </si>
  <si>
    <t>TKARL101</t>
  </si>
  <si>
    <t>TKCOA100</t>
  </si>
  <si>
    <t>TKDIT100</t>
  </si>
  <si>
    <t>TKGAR100</t>
  </si>
  <si>
    <t>TKIMB100</t>
  </si>
  <si>
    <t>TKLIH100</t>
  </si>
  <si>
    <t>TKMOM001</t>
  </si>
  <si>
    <t>TKRAG100</t>
  </si>
  <si>
    <t>TKSAS101</t>
  </si>
  <si>
    <t>TKSEP100</t>
  </si>
  <si>
    <t>TKVEO100</t>
  </si>
  <si>
    <t>TKZAA100</t>
  </si>
  <si>
    <t>TLABT100</t>
  </si>
  <si>
    <t>TLAGG100</t>
  </si>
  <si>
    <t>TLBUM100</t>
  </si>
  <si>
    <t>TLHIF101</t>
  </si>
  <si>
    <t>TLINS001</t>
  </si>
  <si>
    <t>TLMEC102</t>
  </si>
  <si>
    <t>TLMOC102</t>
  </si>
  <si>
    <t>TLPAR101</t>
  </si>
  <si>
    <t>TLTAT102</t>
  </si>
  <si>
    <t>TLTIL101</t>
  </si>
  <si>
    <t>TLURA100</t>
  </si>
  <si>
    <t>TMAGG100</t>
  </si>
  <si>
    <t>TMARP101</t>
  </si>
  <si>
    <t>TMCAA105</t>
  </si>
  <si>
    <t>TMCAH102</t>
  </si>
  <si>
    <t>TMCAR103</t>
  </si>
  <si>
    <t>TMCCS100</t>
  </si>
  <si>
    <t>TMCHS102</t>
  </si>
  <si>
    <t>TMCRF100</t>
  </si>
  <si>
    <t>TMDIL100</t>
  </si>
  <si>
    <t>TMFLC100</t>
  </si>
  <si>
    <t>TMGAS100</t>
  </si>
  <si>
    <t>TMMEH100</t>
  </si>
  <si>
    <t>TMPEP100</t>
  </si>
  <si>
    <t>TMROL101</t>
  </si>
  <si>
    <t>TMROS101</t>
  </si>
  <si>
    <t>TMSAS102</t>
  </si>
  <si>
    <t>TMTIV101</t>
  </si>
  <si>
    <t>TMVET101</t>
  </si>
  <si>
    <t>TMVIL102</t>
  </si>
  <si>
    <t>TNALG100</t>
  </si>
  <si>
    <t>TNBAF100</t>
  </si>
  <si>
    <t>TNCAT100</t>
  </si>
  <si>
    <t>TNCON100</t>
  </si>
  <si>
    <t>TNGUF100</t>
  </si>
  <si>
    <t>TNHUE101</t>
  </si>
  <si>
    <t>TNQUH100</t>
  </si>
  <si>
    <t>TNSOH100</t>
  </si>
  <si>
    <t>TNVEG101</t>
  </si>
  <si>
    <t>TOFLH100</t>
  </si>
  <si>
    <t>TPAIM100</t>
  </si>
  <si>
    <t>TPMOJ100</t>
  </si>
  <si>
    <t>TPVAG101</t>
  </si>
  <si>
    <t>TPVEL100</t>
  </si>
  <si>
    <t>TRALV100</t>
  </si>
  <si>
    <t>TRANF100</t>
  </si>
  <si>
    <t>TRCHP101</t>
  </si>
  <si>
    <t>TREDO100</t>
  </si>
  <si>
    <t>TRFLO100</t>
  </si>
  <si>
    <t>TRGOQ100</t>
  </si>
  <si>
    <t>TRHUA104</t>
  </si>
  <si>
    <t>TRHUR100</t>
  </si>
  <si>
    <t>TRMAD100</t>
  </si>
  <si>
    <t>TRMAH101</t>
  </si>
  <si>
    <t>TRMIM100</t>
  </si>
  <si>
    <t>TRMOH100</t>
  </si>
  <si>
    <t>TRMUC100</t>
  </si>
  <si>
    <t>TRSAE100</t>
  </si>
  <si>
    <t>TRSOF100</t>
  </si>
  <si>
    <t>TRTUH001</t>
  </si>
  <si>
    <t>TSASV100</t>
  </si>
  <si>
    <t>TSFEF100</t>
  </si>
  <si>
    <t>TSPAG101</t>
  </si>
  <si>
    <t>TSPES101</t>
  </si>
  <si>
    <t>TSSAC102</t>
  </si>
  <si>
    <t>TSVIM100</t>
  </si>
  <si>
    <t>TTLOM100</t>
  </si>
  <si>
    <t>TTMOP100</t>
  </si>
  <si>
    <t>TTVAS100</t>
  </si>
  <si>
    <t>TVLLG102</t>
  </si>
  <si>
    <t>TWAQC100</t>
  </si>
  <si>
    <t>TWCAR101</t>
  </si>
  <si>
    <t>TWDIC100</t>
  </si>
  <si>
    <t>TWGOO101</t>
  </si>
  <si>
    <t>TWMOC100</t>
  </si>
  <si>
    <t>TWMUB100</t>
  </si>
  <si>
    <t>TWPEP101</t>
  </si>
  <si>
    <t>TWPEQ100</t>
  </si>
  <si>
    <t>TYACC100</t>
  </si>
  <si>
    <t>TYAGM100</t>
  </si>
  <si>
    <t>TYALR101</t>
  </si>
  <si>
    <t>TYAPA100</t>
  </si>
  <si>
    <t>TYBEN100</t>
  </si>
  <si>
    <t>TYCCL100</t>
  </si>
  <si>
    <t>TYHEE100</t>
  </si>
  <si>
    <t>TYRAG100</t>
  </si>
  <si>
    <t>TYREE100</t>
  </si>
  <si>
    <t>TYSAH100</t>
  </si>
  <si>
    <t>TYSAH101</t>
  </si>
  <si>
    <t>TYZEZ100</t>
  </si>
  <si>
    <t>ASESO363</t>
  </si>
  <si>
    <t>ASESO364</t>
  </si>
  <si>
    <t>ASESO367</t>
  </si>
  <si>
    <t>ASESO368</t>
  </si>
  <si>
    <t>ASESO371</t>
  </si>
  <si>
    <t>ASESO374</t>
  </si>
  <si>
    <t>ASESO376</t>
  </si>
  <si>
    <t>ASESO377</t>
  </si>
  <si>
    <t>ASESO379</t>
  </si>
  <si>
    <t>TAACC100</t>
  </si>
  <si>
    <t>TABAG101</t>
  </si>
  <si>
    <t>TACHD101</t>
  </si>
  <si>
    <t>TADAP100</t>
  </si>
  <si>
    <t>TADEC101</t>
  </si>
  <si>
    <t>TAGON100</t>
  </si>
  <si>
    <t>TAGRR100</t>
  </si>
  <si>
    <t>TAHUA103</t>
  </si>
  <si>
    <t>TAMUA100</t>
  </si>
  <si>
    <t>TAPAB103</t>
  </si>
  <si>
    <t>TATOS101</t>
  </si>
  <si>
    <t>TAVAL100</t>
  </si>
  <si>
    <t>TAZAL100</t>
  </si>
  <si>
    <t>TAZEB100</t>
  </si>
  <si>
    <t>TBBAL100</t>
  </si>
  <si>
    <t>TBESR100</t>
  </si>
  <si>
    <t>TBHUQ100</t>
  </si>
  <si>
    <t>TBMOO100</t>
  </si>
  <si>
    <t>TBSES100</t>
  </si>
  <si>
    <t>TBTUC100</t>
  </si>
  <si>
    <t>TBVAG100</t>
  </si>
  <si>
    <t>TBVIV100</t>
  </si>
  <si>
    <t>TBZAL100</t>
  </si>
  <si>
    <t>TCBAC102</t>
  </si>
  <si>
    <t>TCBRJ100</t>
  </si>
  <si>
    <t>TCCAA103</t>
  </si>
  <si>
    <t>TCCAG100</t>
  </si>
  <si>
    <t>TCCET100</t>
  </si>
  <si>
    <t>TCCHC101</t>
  </si>
  <si>
    <t>TCGAR100</t>
  </si>
  <si>
    <t>TCJUM101</t>
  </si>
  <si>
    <t>TCLOT100</t>
  </si>
  <si>
    <t>TCMAY100</t>
  </si>
  <si>
    <t>TCMIE100</t>
  </si>
  <si>
    <t>TCMOV100</t>
  </si>
  <si>
    <t>TCPAO100</t>
  </si>
  <si>
    <t>TCPRZ100</t>
  </si>
  <si>
    <t>TCRIO100</t>
  </si>
  <si>
    <t>TCVIC100</t>
  </si>
  <si>
    <t>TDCAS101</t>
  </si>
  <si>
    <t>TDGUV100</t>
  </si>
  <si>
    <t>TDMAG101</t>
  </si>
  <si>
    <t>TDMET100</t>
  </si>
  <si>
    <t>TDMOB100</t>
  </si>
  <si>
    <t>TDPUY100</t>
  </si>
  <si>
    <t>TDRIT100</t>
  </si>
  <si>
    <t>TDSAS100</t>
  </si>
  <si>
    <t>TDSUS100</t>
  </si>
  <si>
    <t>TDZAV100</t>
  </si>
  <si>
    <t>TEBES101</t>
  </si>
  <si>
    <t>TECAA101</t>
  </si>
  <si>
    <t>TEFLC002</t>
  </si>
  <si>
    <t>TELOP101</t>
  </si>
  <si>
    <t>TEMAC103</t>
  </si>
  <si>
    <t>TEMAC104</t>
  </si>
  <si>
    <t>TEMAM100</t>
  </si>
  <si>
    <t>TEPAM101</t>
  </si>
  <si>
    <t>TEQUO100</t>
  </si>
  <si>
    <t>TERAF100</t>
  </si>
  <si>
    <t>TERAP101</t>
  </si>
  <si>
    <t>TEVIC102</t>
  </si>
  <si>
    <t>TFCAL100</t>
  </si>
  <si>
    <t>TFCUD100</t>
  </si>
  <si>
    <t>TFFLH100</t>
  </si>
  <si>
    <t>TFPAT100</t>
  </si>
  <si>
    <t>TFREN100</t>
  </si>
  <si>
    <t>TFROA101</t>
  </si>
  <si>
    <t>TFYLG100</t>
  </si>
  <si>
    <t>TFZAJ100</t>
  </si>
  <si>
    <t>TGCAL100</t>
  </si>
  <si>
    <t>TGCCH100</t>
  </si>
  <si>
    <t>TGCUL100</t>
  </si>
  <si>
    <t>TGINM100</t>
  </si>
  <si>
    <t>TGPAP101</t>
  </si>
  <si>
    <t>TGRIC101</t>
  </si>
  <si>
    <t>THHUL100</t>
  </si>
  <si>
    <t>THHUP100</t>
  </si>
  <si>
    <t>THSAC100</t>
  </si>
  <si>
    <t>TIBRP100</t>
  </si>
  <si>
    <t>TIJAM100</t>
  </si>
  <si>
    <t>TJAGZ100</t>
  </si>
  <si>
    <t>TJALA101</t>
  </si>
  <si>
    <t>TJALC103</t>
  </si>
  <si>
    <t>TJAQS100</t>
  </si>
  <si>
    <t>TJAVC100</t>
  </si>
  <si>
    <t>TJBEG100</t>
  </si>
  <si>
    <t>TJCAH105</t>
  </si>
  <si>
    <t>TJCOG101</t>
  </si>
  <si>
    <t>TJCOQ101</t>
  </si>
  <si>
    <t>TJCRS100</t>
  </si>
  <si>
    <t>TJDER101</t>
  </si>
  <si>
    <t>TJDES101</t>
  </si>
  <si>
    <t>TJFAT102</t>
  </si>
  <si>
    <t>TJGAM102</t>
  </si>
  <si>
    <t>TJGOC101</t>
  </si>
  <si>
    <t>TJGOV100</t>
  </si>
  <si>
    <t>TJJUR100</t>
  </si>
  <si>
    <t>TJLLH100</t>
  </si>
  <si>
    <t>TJLOC102</t>
  </si>
  <si>
    <t>TJMAC107</t>
  </si>
  <si>
    <t>TJMAG103</t>
  </si>
  <si>
    <t>TJMAN100</t>
  </si>
  <si>
    <t>TJORR102</t>
  </si>
  <si>
    <t>TJOYB100</t>
  </si>
  <si>
    <t>TJPAM100</t>
  </si>
  <si>
    <t>TJPAM101</t>
  </si>
  <si>
    <t>TJPEN100</t>
  </si>
  <si>
    <t>TJRAR100</t>
  </si>
  <si>
    <t>TJROG100</t>
  </si>
  <si>
    <t>TJRUR100</t>
  </si>
  <si>
    <t>TJSAA100</t>
  </si>
  <si>
    <t>TJSAH101</t>
  </si>
  <si>
    <t>TJSAO100</t>
  </si>
  <si>
    <t>TJSHM100</t>
  </si>
  <si>
    <t>TJVAC102</t>
  </si>
  <si>
    <t>TJVAP100</t>
  </si>
  <si>
    <t>TJVAR103</t>
  </si>
  <si>
    <t>TJVEF102</t>
  </si>
  <si>
    <t>TJVIC102</t>
  </si>
  <si>
    <t>TJYUC100</t>
  </si>
  <si>
    <t>TJZAC102</t>
  </si>
  <si>
    <t>TKALZ100</t>
  </si>
  <si>
    <t>TKCAV101</t>
  </si>
  <si>
    <t>TKCHL100</t>
  </si>
  <si>
    <t>TKCOH103</t>
  </si>
  <si>
    <t>TKGAG100</t>
  </si>
  <si>
    <t>TKGUR101</t>
  </si>
  <si>
    <t>TKHUM100</t>
  </si>
  <si>
    <t>TKMEB100</t>
  </si>
  <si>
    <t>TKPAA102</t>
  </si>
  <si>
    <t>TKPIR100</t>
  </si>
  <si>
    <t>TKROE001</t>
  </si>
  <si>
    <t>TKROM100</t>
  </si>
  <si>
    <t>TKSAT100</t>
  </si>
  <si>
    <t>TKSUC102</t>
  </si>
  <si>
    <t>TLALR100</t>
  </si>
  <si>
    <t>TLAMT001</t>
  </si>
  <si>
    <t>TLBUG100</t>
  </si>
  <si>
    <t>TLCAA102</t>
  </si>
  <si>
    <t>TLCAR103</t>
  </si>
  <si>
    <t>TLCAU100</t>
  </si>
  <si>
    <t>TLCHZ100</t>
  </si>
  <si>
    <t>TLCRG100</t>
  </si>
  <si>
    <t>TLESG100</t>
  </si>
  <si>
    <t>TLHUH101</t>
  </si>
  <si>
    <t>TLISC102</t>
  </si>
  <si>
    <t>TLLAV100</t>
  </si>
  <si>
    <t>TLMAP102</t>
  </si>
  <si>
    <t>TLNAT100</t>
  </si>
  <si>
    <t>TLRAS100</t>
  </si>
  <si>
    <t>TLTAI100</t>
  </si>
  <si>
    <t>TLTOA102</t>
  </si>
  <si>
    <t>TLVEU100</t>
  </si>
  <si>
    <t>TMALC101</t>
  </si>
  <si>
    <t>TMALR100</t>
  </si>
  <si>
    <t>TMAMT100</t>
  </si>
  <si>
    <t>TMARC101</t>
  </si>
  <si>
    <t>TMCEO100</t>
  </si>
  <si>
    <t>TMCHC107</t>
  </si>
  <si>
    <t>TMCHZ100</t>
  </si>
  <si>
    <t>TMDIB101</t>
  </si>
  <si>
    <t>TMGOA101</t>
  </si>
  <si>
    <t>TMHEN100</t>
  </si>
  <si>
    <t>TMHUS101</t>
  </si>
  <si>
    <t>TMIPI100</t>
  </si>
  <si>
    <t>TMLAR100</t>
  </si>
  <si>
    <t>TMMAA002</t>
  </si>
  <si>
    <t>TMMIS100</t>
  </si>
  <si>
    <t>TMMOT100</t>
  </si>
  <si>
    <t>TMORQ100</t>
  </si>
  <si>
    <t>TMPAH102</t>
  </si>
  <si>
    <t>TMPAM100</t>
  </si>
  <si>
    <t>TMQUA101</t>
  </si>
  <si>
    <t>TMROP100</t>
  </si>
  <si>
    <t>TMROP102</t>
  </si>
  <si>
    <t>TMSAQ001</t>
  </si>
  <si>
    <t>TMSEP102</t>
  </si>
  <si>
    <t>TMTAR100</t>
  </si>
  <si>
    <t>TMTOR100</t>
  </si>
  <si>
    <t>TMTUS101</t>
  </si>
  <si>
    <t>TMUGM100</t>
  </si>
  <si>
    <t>TMVAR103</t>
  </si>
  <si>
    <t>TNALD100</t>
  </si>
  <si>
    <t>TNDAP100</t>
  </si>
  <si>
    <t>TNMAM100</t>
  </si>
  <si>
    <t>TNPEC100</t>
  </si>
  <si>
    <t>TNROV100</t>
  </si>
  <si>
    <t>TOFEV100</t>
  </si>
  <si>
    <t>TOMOS100</t>
  </si>
  <si>
    <t>TONER100</t>
  </si>
  <si>
    <t>TORII100</t>
  </si>
  <si>
    <t>TOVAS100</t>
  </si>
  <si>
    <t>TOZAQ100</t>
  </si>
  <si>
    <t>TPCAC101</t>
  </si>
  <si>
    <t>TPCOP100</t>
  </si>
  <si>
    <t>TPGUC100</t>
  </si>
  <si>
    <t>TPVIR100</t>
  </si>
  <si>
    <t>TRAGA100</t>
  </si>
  <si>
    <t>TRALT101</t>
  </si>
  <si>
    <t>TRANG100</t>
  </si>
  <si>
    <t>TRART100</t>
  </si>
  <si>
    <t>TRCAA105</t>
  </si>
  <si>
    <t>TRCAL100</t>
  </si>
  <si>
    <t>TRCAM102</t>
  </si>
  <si>
    <t>TRCHC103</t>
  </si>
  <si>
    <t>TRCHG100</t>
  </si>
  <si>
    <t>TRFIC100</t>
  </si>
  <si>
    <t>TRMAF100</t>
  </si>
  <si>
    <t>TRMIH100</t>
  </si>
  <si>
    <t>TRSII100</t>
  </si>
  <si>
    <t>TRVAR100</t>
  </si>
  <si>
    <t>TRVIR100</t>
  </si>
  <si>
    <t>TRYUG100</t>
  </si>
  <si>
    <t>TSANM100</t>
  </si>
  <si>
    <t>TSCAA102</t>
  </si>
  <si>
    <t>TSCHU100</t>
  </si>
  <si>
    <t>TSHUC101</t>
  </si>
  <si>
    <t>TSHUR101</t>
  </si>
  <si>
    <t>TSHUZ100</t>
  </si>
  <si>
    <t>TSMAC100</t>
  </si>
  <si>
    <t>TSMAV101</t>
  </si>
  <si>
    <t>TSVAC100</t>
  </si>
  <si>
    <t>TTCAM100</t>
  </si>
  <si>
    <t>TTRIA100</t>
  </si>
  <si>
    <t>TVCOM100</t>
  </si>
  <si>
    <t>TVMAF001</t>
  </si>
  <si>
    <t>TWAPA100</t>
  </si>
  <si>
    <t>TWARS001</t>
  </si>
  <si>
    <t>TWCHC103</t>
  </si>
  <si>
    <t>TWDAS100</t>
  </si>
  <si>
    <t>TWDEP100</t>
  </si>
  <si>
    <t>TWFRC100</t>
  </si>
  <si>
    <t>TWGAO100</t>
  </si>
  <si>
    <t>TWMAA100</t>
  </si>
  <si>
    <t>TWPIF100</t>
  </si>
  <si>
    <t>TWROQ100</t>
  </si>
  <si>
    <t>TXCAJ100</t>
  </si>
  <si>
    <t>TYBRP100</t>
  </si>
  <si>
    <t>TYCOC102</t>
  </si>
  <si>
    <t>TYESA104</t>
  </si>
  <si>
    <t>TYMIG100</t>
  </si>
  <si>
    <t>TYORL100</t>
  </si>
  <si>
    <t>TYPOA100</t>
  </si>
  <si>
    <t>TYROR100</t>
  </si>
  <si>
    <t>TYSAM102</t>
  </si>
  <si>
    <t>TYSEP100</t>
  </si>
  <si>
    <t>TYSUQ101</t>
  </si>
  <si>
    <t>TYVAT100</t>
  </si>
  <si>
    <t>ASESO365</t>
  </si>
  <si>
    <t>ASESO366</t>
  </si>
  <si>
    <t>ASESO369</t>
  </si>
  <si>
    <t>ASESO370</t>
  </si>
  <si>
    <t>ASESO372</t>
  </si>
  <si>
    <t>ASESO373</t>
  </si>
  <si>
    <t>ASESO375</t>
  </si>
  <si>
    <t>ASESO378</t>
  </si>
  <si>
    <t>ASESO380</t>
  </si>
  <si>
    <t>ASESO382</t>
  </si>
  <si>
    <t>TAANP100</t>
  </si>
  <si>
    <t>TACHM103</t>
  </si>
  <si>
    <t>TACOR101</t>
  </si>
  <si>
    <t>TAESL100</t>
  </si>
  <si>
    <t>TAFLZ100</t>
  </si>
  <si>
    <t>TAHUN101</t>
  </si>
  <si>
    <t>TASAL101</t>
  </si>
  <si>
    <t>TAVAP100</t>
  </si>
  <si>
    <t>TBMAH100</t>
  </si>
  <si>
    <t>TBVIP100</t>
  </si>
  <si>
    <t>TCARM102</t>
  </si>
  <si>
    <t>TCCHC102</t>
  </si>
  <si>
    <t>TCDEC100</t>
  </si>
  <si>
    <t>TCPET100</t>
  </si>
  <si>
    <t>TCSAC101</t>
  </si>
  <si>
    <t>TCUBR100</t>
  </si>
  <si>
    <t>TCVEG100</t>
  </si>
  <si>
    <t>TCZAH100</t>
  </si>
  <si>
    <t>TDBAC102</t>
  </si>
  <si>
    <t>TDCAV102</t>
  </si>
  <si>
    <t>TDHUM101</t>
  </si>
  <si>
    <t>TDINL100</t>
  </si>
  <si>
    <t>TDSIS100</t>
  </si>
  <si>
    <t>TDVIY100</t>
  </si>
  <si>
    <t>TEANG100</t>
  </si>
  <si>
    <t>TECHV100</t>
  </si>
  <si>
    <t>TEGAD100</t>
  </si>
  <si>
    <t>TEHUV103</t>
  </si>
  <si>
    <t>TEROR100</t>
  </si>
  <si>
    <t>TFAZG100</t>
  </si>
  <si>
    <t>TFMAQ100</t>
  </si>
  <si>
    <t>TFTOH100</t>
  </si>
  <si>
    <t>TGESV100</t>
  </si>
  <si>
    <t>TGNAC100</t>
  </si>
  <si>
    <t>TGORC101</t>
  </si>
  <si>
    <t>TGZUF100</t>
  </si>
  <si>
    <t>THMEO100</t>
  </si>
  <si>
    <t>TIOCQ001</t>
  </si>
  <si>
    <t>TJDEL100</t>
  </si>
  <si>
    <t>TJDER102</t>
  </si>
  <si>
    <t>TJFAR101</t>
  </si>
  <si>
    <t>TJHUC106</t>
  </si>
  <si>
    <t>TJHUR100</t>
  </si>
  <si>
    <t>TJLOD100</t>
  </si>
  <si>
    <t>TJNAS100</t>
  </si>
  <si>
    <t>TJORG100</t>
  </si>
  <si>
    <t>TJPAR100</t>
  </si>
  <si>
    <t>TJPAU100</t>
  </si>
  <si>
    <t>TJQUM102</t>
  </si>
  <si>
    <t>TJSAS102</t>
  </si>
  <si>
    <t>TJSOS100</t>
  </si>
  <si>
    <t>TJTOC101</t>
  </si>
  <si>
    <t>TJVIQ100</t>
  </si>
  <si>
    <t>TJZAR102</t>
  </si>
  <si>
    <t>TKIBR100</t>
  </si>
  <si>
    <t>TKTOC100</t>
  </si>
  <si>
    <t>TLALF100</t>
  </si>
  <si>
    <t>TLAUI100</t>
  </si>
  <si>
    <t>TLDUL100</t>
  </si>
  <si>
    <t>TLQUR100</t>
  </si>
  <si>
    <t>TLZAC101</t>
  </si>
  <si>
    <t>TMAGR100</t>
  </si>
  <si>
    <t>TMALJ100</t>
  </si>
  <si>
    <t>TMAPM100</t>
  </si>
  <si>
    <t>TMASP100</t>
  </si>
  <si>
    <t>TMCHC108</t>
  </si>
  <si>
    <t>TMFAS100</t>
  </si>
  <si>
    <t>TMGAP101</t>
  </si>
  <si>
    <t>TMMIR102</t>
  </si>
  <si>
    <t>TMPIS100</t>
  </si>
  <si>
    <t>TMRAC103</t>
  </si>
  <si>
    <t>TMSIR100</t>
  </si>
  <si>
    <t>TMVAC100</t>
  </si>
  <si>
    <t>TMVEZ100</t>
  </si>
  <si>
    <t>TNCOG100</t>
  </si>
  <si>
    <t>TOCRV100</t>
  </si>
  <si>
    <t>TPALV101</t>
  </si>
  <si>
    <t>TPGAT100</t>
  </si>
  <si>
    <t>TPSES100</t>
  </si>
  <si>
    <t>TPVAL100</t>
  </si>
  <si>
    <t>TRBAG100</t>
  </si>
  <si>
    <t>TRCAR003</t>
  </si>
  <si>
    <t>TRDUE100</t>
  </si>
  <si>
    <t>TSPAT100</t>
  </si>
  <si>
    <t>TSSAL101</t>
  </si>
  <si>
    <t>TTCUT100</t>
  </si>
  <si>
    <t>TTMAM101</t>
  </si>
  <si>
    <t>TTTAV100</t>
  </si>
  <si>
    <t>TVANR100</t>
  </si>
  <si>
    <t>TVBEB100</t>
  </si>
  <si>
    <t>TVPAH100</t>
  </si>
  <si>
    <t>TWSAC100</t>
  </si>
  <si>
    <t>TYCAM101</t>
  </si>
  <si>
    <t>TYQUQ100</t>
  </si>
  <si>
    <t>TYRIC101</t>
  </si>
  <si>
    <t>TYRUC100</t>
  </si>
  <si>
    <t>TYVEH102</t>
  </si>
  <si>
    <t>TZCRC100</t>
  </si>
  <si>
    <t>TZQUH100</t>
  </si>
  <si>
    <t>TAARH101</t>
  </si>
  <si>
    <t>TAASQ100</t>
  </si>
  <si>
    <t>TABRZ100</t>
  </si>
  <si>
    <t>TACAA100</t>
  </si>
  <si>
    <t>TACIR100</t>
  </si>
  <si>
    <t>TACOM100</t>
  </si>
  <si>
    <t>TAFEM101</t>
  </si>
  <si>
    <t>TAGOR100</t>
  </si>
  <si>
    <t>TAHUS101</t>
  </si>
  <si>
    <t>TALEP101</t>
  </si>
  <si>
    <t>TAMAT100</t>
  </si>
  <si>
    <t>TAMIA100</t>
  </si>
  <si>
    <t>TAPEC100</t>
  </si>
  <si>
    <t>TASAC103</t>
  </si>
  <si>
    <t>TATOG100</t>
  </si>
  <si>
    <t>TAVEC101</t>
  </si>
  <si>
    <t>TAVIM100</t>
  </si>
  <si>
    <t>TBBUS100</t>
  </si>
  <si>
    <t>TBCLN100</t>
  </si>
  <si>
    <t>TBORJ100</t>
  </si>
  <si>
    <t>TBRAJ100</t>
  </si>
  <si>
    <t>TCCHM100</t>
  </si>
  <si>
    <t>TCGUP101</t>
  </si>
  <si>
    <t>TCHIV100</t>
  </si>
  <si>
    <t>TCLAR100</t>
  </si>
  <si>
    <t>TCROD100</t>
  </si>
  <si>
    <t>TCROR002</t>
  </si>
  <si>
    <t>TCSAM101</t>
  </si>
  <si>
    <t>TCTUV100</t>
  </si>
  <si>
    <t>TCVAA102</t>
  </si>
  <si>
    <t>TCVAD100</t>
  </si>
  <si>
    <t>TCVAV101</t>
  </si>
  <si>
    <t>TCVIC101</t>
  </si>
  <si>
    <t>TDACC100</t>
  </si>
  <si>
    <t>TDARC100</t>
  </si>
  <si>
    <t>TDCCA100</t>
  </si>
  <si>
    <t>TDCEM101</t>
  </si>
  <si>
    <t>TDCOJ101</t>
  </si>
  <si>
    <t>TDGUA101</t>
  </si>
  <si>
    <t>TDLOV101</t>
  </si>
  <si>
    <t>TDMAE100</t>
  </si>
  <si>
    <t>TDPOG100</t>
  </si>
  <si>
    <t>TDTEH100</t>
  </si>
  <si>
    <t>TDTIF100</t>
  </si>
  <si>
    <t>TDZAT100</t>
  </si>
  <si>
    <t>TEALV101</t>
  </si>
  <si>
    <t>TEANT100</t>
  </si>
  <si>
    <t>TEARM100</t>
  </si>
  <si>
    <t>TECHC103</t>
  </si>
  <si>
    <t>TECHV101</t>
  </si>
  <si>
    <t>TECRH100</t>
  </si>
  <si>
    <t>TECUC100</t>
  </si>
  <si>
    <t>TEDIM101</t>
  </si>
  <si>
    <t>TEGAC102</t>
  </si>
  <si>
    <t>TEJIV100</t>
  </si>
  <si>
    <t>TEMAS100</t>
  </si>
  <si>
    <t>TEMOH100</t>
  </si>
  <si>
    <t>TEPAM102</t>
  </si>
  <si>
    <t>TEREL104</t>
  </si>
  <si>
    <t>TEROK100</t>
  </si>
  <si>
    <t>TEROS101</t>
  </si>
  <si>
    <t>TESAS103</t>
  </si>
  <si>
    <t>TEVAV100</t>
  </si>
  <si>
    <t>TEVIG101</t>
  </si>
  <si>
    <t>TFAPA100</t>
  </si>
  <si>
    <t>TFCAV100</t>
  </si>
  <si>
    <t>TFCCC100</t>
  </si>
  <si>
    <t>TFCUC103</t>
  </si>
  <si>
    <t>TFDEP101</t>
  </si>
  <si>
    <t>TFGUC100</t>
  </si>
  <si>
    <t>TFGUE100</t>
  </si>
  <si>
    <t>TFVAC101</t>
  </si>
  <si>
    <t>TGANV100</t>
  </si>
  <si>
    <t>TGCOU100</t>
  </si>
  <si>
    <t>TGGAT100</t>
  </si>
  <si>
    <t>TGMES100</t>
  </si>
  <si>
    <t>TGPER100</t>
  </si>
  <si>
    <t>TGSAM102</t>
  </si>
  <si>
    <t>TGVAC102</t>
  </si>
  <si>
    <t>TGVIG100</t>
  </si>
  <si>
    <t>THGAH101</t>
  </si>
  <si>
    <t>TICAR100</t>
  </si>
  <si>
    <t>TIFLC100</t>
  </si>
  <si>
    <t>TIHUB102</t>
  </si>
  <si>
    <t>TJANF100</t>
  </si>
  <si>
    <t>TJANH100</t>
  </si>
  <si>
    <t>TJAVJ100</t>
  </si>
  <si>
    <t>TJBAG101</t>
  </si>
  <si>
    <t>TJCAE102</t>
  </si>
  <si>
    <t>TJCHC103</t>
  </si>
  <si>
    <t>TJCHQ101</t>
  </si>
  <si>
    <t>TJCHT101</t>
  </si>
  <si>
    <t>TJGAM103</t>
  </si>
  <si>
    <t>TJGUG101</t>
  </si>
  <si>
    <t>TJHUC105</t>
  </si>
  <si>
    <t>TJHUG101</t>
  </si>
  <si>
    <t>TJHUL101</t>
  </si>
  <si>
    <t>TJHUL102</t>
  </si>
  <si>
    <t>TJLAC105</t>
  </si>
  <si>
    <t>TJLES100</t>
  </si>
  <si>
    <t>TJMEP103</t>
  </si>
  <si>
    <t>TJPET100</t>
  </si>
  <si>
    <t>TJQUP100</t>
  </si>
  <si>
    <t>TJSAC103</t>
  </si>
  <si>
    <t>TJSAF100</t>
  </si>
  <si>
    <t>TJTOV101</t>
  </si>
  <si>
    <t>TJYAO100</t>
  </si>
  <si>
    <t>TJZEC100</t>
  </si>
  <si>
    <t>TKALA100</t>
  </si>
  <si>
    <t>TKARD100</t>
  </si>
  <si>
    <t>TKAYV100</t>
  </si>
  <si>
    <t>TKBER100</t>
  </si>
  <si>
    <t>TKBRG100</t>
  </si>
  <si>
    <t>TKDEM101</t>
  </si>
  <si>
    <t>TKDUC100</t>
  </si>
  <si>
    <t>TKHUQ100</t>
  </si>
  <si>
    <t>TKSAQ100</t>
  </si>
  <si>
    <t>TKSUL100</t>
  </si>
  <si>
    <t>TKTOC101</t>
  </si>
  <si>
    <t>TLALH100</t>
  </si>
  <si>
    <t>TLAPZ100</t>
  </si>
  <si>
    <t>TLCHH102</t>
  </si>
  <si>
    <t>TLCHV101</t>
  </si>
  <si>
    <t>TLCOM102</t>
  </si>
  <si>
    <t>TLESS100</t>
  </si>
  <si>
    <t>TLESY100</t>
  </si>
  <si>
    <t>TLHUC106</t>
  </si>
  <si>
    <t>TLHUF100</t>
  </si>
  <si>
    <t>TLHUM100</t>
  </si>
  <si>
    <t>TLJAG100</t>
  </si>
  <si>
    <t>TLLIR100</t>
  </si>
  <si>
    <t>TLLOA100</t>
  </si>
  <si>
    <t>TLMIC101</t>
  </si>
  <si>
    <t>TLMUR100</t>
  </si>
  <si>
    <t>TLPAQ100</t>
  </si>
  <si>
    <t>TLPEC102</t>
  </si>
  <si>
    <t>TLQUV100</t>
  </si>
  <si>
    <t>TLRIA100</t>
  </si>
  <si>
    <t>TLROA101</t>
  </si>
  <si>
    <t>TLTTQ100</t>
  </si>
  <si>
    <t>TMALL100</t>
  </si>
  <si>
    <t>TMCOV101</t>
  </si>
  <si>
    <t>TMGUA101</t>
  </si>
  <si>
    <t>TMHUG100</t>
  </si>
  <si>
    <t>TMISS100</t>
  </si>
  <si>
    <t>TMLLM100</t>
  </si>
  <si>
    <t>TMMEM100</t>
  </si>
  <si>
    <t>TMMUP101</t>
  </si>
  <si>
    <t>TMOLM102</t>
  </si>
  <si>
    <t>TMQUM100</t>
  </si>
  <si>
    <t>TMQUM101</t>
  </si>
  <si>
    <t>TMSAC105</t>
  </si>
  <si>
    <t>TMTOM101</t>
  </si>
  <si>
    <t>TMVAI100</t>
  </si>
  <si>
    <t>TNATT100</t>
  </si>
  <si>
    <t>TNBER100</t>
  </si>
  <si>
    <t>TNIRG100</t>
  </si>
  <si>
    <t>TNLAC101</t>
  </si>
  <si>
    <t>TNLEE100</t>
  </si>
  <si>
    <t>TNLLC100</t>
  </si>
  <si>
    <t>TNRAE100</t>
  </si>
  <si>
    <t>TNTAS101</t>
  </si>
  <si>
    <t>TOBOV100</t>
  </si>
  <si>
    <t>TOOLA100</t>
  </si>
  <si>
    <t>TRAMR100</t>
  </si>
  <si>
    <t>TRAPH100</t>
  </si>
  <si>
    <t>TRARG100</t>
  </si>
  <si>
    <t>TRBAC103</t>
  </si>
  <si>
    <t>TRCAQ101</t>
  </si>
  <si>
    <t>TRCHH101</t>
  </si>
  <si>
    <t>TRCHM100</t>
  </si>
  <si>
    <t>TRCOC102</t>
  </si>
  <si>
    <t>TRCUH100</t>
  </si>
  <si>
    <t>TRFLG102</t>
  </si>
  <si>
    <t>TRINM100</t>
  </si>
  <si>
    <t>TRLIP100</t>
  </si>
  <si>
    <t>TRVAF101</t>
  </si>
  <si>
    <t>TRVAR101</t>
  </si>
  <si>
    <t>TRYOE100</t>
  </si>
  <si>
    <t>TRZAZ100</t>
  </si>
  <si>
    <t>TSCAL100</t>
  </si>
  <si>
    <t>TSCHP100</t>
  </si>
  <si>
    <t>TSCHR100</t>
  </si>
  <si>
    <t>TSCUT100</t>
  </si>
  <si>
    <t>TSFLD100</t>
  </si>
  <si>
    <t>TSMAV100</t>
  </si>
  <si>
    <t>TSPIS100</t>
  </si>
  <si>
    <t>TSTOR100</t>
  </si>
  <si>
    <t>TTPAT100</t>
  </si>
  <si>
    <t>TVALM100</t>
  </si>
  <si>
    <t>TVGUR100</t>
  </si>
  <si>
    <t>TVOLP100</t>
  </si>
  <si>
    <t>TVPRY001</t>
  </si>
  <si>
    <t>TVTOE100</t>
  </si>
  <si>
    <t>TVZEC100</t>
  </si>
  <si>
    <t>TWCOP002</t>
  </si>
  <si>
    <t>TWMUG100</t>
  </si>
  <si>
    <t>TWSAM100</t>
  </si>
  <si>
    <t>TXQUQ100</t>
  </si>
  <si>
    <t>TYARR101</t>
  </si>
  <si>
    <t>TYBOJ100</t>
  </si>
  <si>
    <t>TYCAV003</t>
  </si>
  <si>
    <t>TYINT100</t>
  </si>
  <si>
    <t>TYMUB100</t>
  </si>
  <si>
    <t>TYPAD101</t>
  </si>
  <si>
    <t>TYQUT100</t>
  </si>
  <si>
    <t>TYRAP100</t>
  </si>
  <si>
    <t>TZSHD100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</si>
</sst>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2" borderId="0" xfId="0" applyFont="1" applyFill="1"/>
    <xf numFmtId="17" fontId="2" fillId="3" borderId="0" xfId="0" applyNumberFormat="1" applyFont="1" applyFill="1" applyAlignment="1">
      <alignment horizontal="center"/>
    </xf>
    <xf numFmtId="164" fontId="2" fillId="0" borderId="0" xfId="1" applyNumberFormat="1" applyFont="1"/>
    <xf numFmtId="43" fontId="2" fillId="0" borderId="0" xfId="1" applyFont="1"/>
    <xf numFmtId="165" fontId="2" fillId="0" borderId="0" xfId="1" applyNumberFormat="1" applyFont="1"/>
    <xf numFmtId="0" fontId="2" fillId="3" borderId="0" xfId="0" applyFont="1" applyFill="1"/>
    <xf numFmtId="164" fontId="2" fillId="3" borderId="0" xfId="1" applyNumberFormat="1" applyFont="1" applyFill="1"/>
    <xf numFmtId="43" fontId="2" fillId="3" borderId="0" xfId="1" applyFont="1" applyFill="1"/>
    <xf numFmtId="165" fontId="2" fillId="3" borderId="0" xfId="1" applyNumberFormat="1" applyFont="1" applyFill="1"/>
    <xf numFmtId="11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99"/>
  <sheetViews>
    <sheetView showGridLines="0" tabSelected="1" workbookViewId="0">
      <selection activeCell="A2" sqref="A2:E2099"/>
    </sheetView>
  </sheetViews>
  <sheetFormatPr baseColWidth="10" defaultRowHeight="14.4" x14ac:dyDescent="0.3"/>
  <cols>
    <col min="1" max="1" width="10.6640625" bestFit="1" customWidth="1"/>
    <col min="2" max="2" width="19" bestFit="1" customWidth="1"/>
    <col min="3" max="3" width="16.109375" bestFit="1" customWidth="1"/>
    <col min="4" max="4" width="19.5546875" bestFit="1" customWidth="1"/>
    <col min="5" max="5" width="19" bestFit="1" customWidth="1"/>
  </cols>
  <sheetData>
    <row r="1" spans="1:5" ht="15" x14ac:dyDescent="0.25">
      <c r="A1" s="2" t="s">
        <v>3</v>
      </c>
      <c r="B1" s="3" t="s">
        <v>0</v>
      </c>
      <c r="C1" s="3" t="s">
        <v>1</v>
      </c>
      <c r="D1" s="3" t="s">
        <v>2</v>
      </c>
      <c r="E1" s="3" t="s">
        <v>4</v>
      </c>
    </row>
    <row r="2" spans="1:5" ht="15" x14ac:dyDescent="0.25">
      <c r="A2" s="1" t="s">
        <v>452</v>
      </c>
      <c r="B2" s="4">
        <v>-123.06</v>
      </c>
      <c r="C2" s="5">
        <v>0</v>
      </c>
      <c r="D2" s="6" t="s">
        <v>1414</v>
      </c>
      <c r="E2" s="6">
        <v>1.1868999999999999E-2</v>
      </c>
    </row>
    <row r="3" spans="1:5" ht="15" x14ac:dyDescent="0.25">
      <c r="A3" s="1" t="s">
        <v>972</v>
      </c>
      <c r="B3" s="4">
        <v>0</v>
      </c>
      <c r="C3" s="5">
        <v>0</v>
      </c>
      <c r="D3" s="6" t="s">
        <v>1414</v>
      </c>
      <c r="E3" s="6" t="s">
        <v>1414</v>
      </c>
    </row>
    <row r="4" spans="1:5" ht="15" x14ac:dyDescent="0.25">
      <c r="A4" s="1" t="s">
        <v>381</v>
      </c>
      <c r="B4" s="4">
        <v>0</v>
      </c>
      <c r="C4" s="5">
        <v>0</v>
      </c>
      <c r="D4" s="6" t="s">
        <v>1414</v>
      </c>
      <c r="E4" s="6" t="s">
        <v>1414</v>
      </c>
    </row>
    <row r="5" spans="1:5" ht="15" x14ac:dyDescent="0.25">
      <c r="A5" s="1" t="s">
        <v>1044</v>
      </c>
      <c r="B5" s="4">
        <v>0</v>
      </c>
      <c r="C5" s="5">
        <v>0</v>
      </c>
      <c r="D5" s="6" t="s">
        <v>1414</v>
      </c>
      <c r="E5" s="6">
        <v>0</v>
      </c>
    </row>
    <row r="6" spans="1:5" ht="15" x14ac:dyDescent="0.25">
      <c r="A6" s="1" t="s">
        <v>77</v>
      </c>
      <c r="B6" s="4">
        <v>0</v>
      </c>
      <c r="C6" s="5">
        <v>0</v>
      </c>
      <c r="D6" s="6" t="s">
        <v>1414</v>
      </c>
      <c r="E6" s="6" t="s">
        <v>1414</v>
      </c>
    </row>
    <row r="7" spans="1:5" ht="15" x14ac:dyDescent="0.25">
      <c r="A7" s="1" t="s">
        <v>902</v>
      </c>
      <c r="B7" s="4">
        <v>0</v>
      </c>
      <c r="C7" s="5">
        <v>0</v>
      </c>
      <c r="D7" s="6" t="s">
        <v>1414</v>
      </c>
      <c r="E7" s="6" t="s">
        <v>1414</v>
      </c>
    </row>
    <row r="8" spans="1:5" ht="15" x14ac:dyDescent="0.25">
      <c r="A8" s="1" t="s">
        <v>743</v>
      </c>
      <c r="B8" s="4">
        <v>0</v>
      </c>
      <c r="C8" s="5">
        <v>0</v>
      </c>
      <c r="D8" s="6" t="s">
        <v>1414</v>
      </c>
      <c r="E8" s="6" t="s">
        <v>1414</v>
      </c>
    </row>
    <row r="9" spans="1:5" ht="15" x14ac:dyDescent="0.25">
      <c r="A9" s="1" t="s">
        <v>818</v>
      </c>
      <c r="B9" s="4">
        <v>-358.39</v>
      </c>
      <c r="C9" s="5">
        <v>0</v>
      </c>
      <c r="D9" s="6">
        <v>1</v>
      </c>
      <c r="E9" s="6" t="s">
        <v>1414</v>
      </c>
    </row>
    <row r="10" spans="1:5" ht="15" x14ac:dyDescent="0.25">
      <c r="A10" s="1" t="s">
        <v>525</v>
      </c>
      <c r="B10" s="4">
        <v>-15368.53</v>
      </c>
      <c r="C10" s="5">
        <v>0</v>
      </c>
      <c r="D10" s="6">
        <v>1</v>
      </c>
      <c r="E10" s="6" t="s">
        <v>1414</v>
      </c>
    </row>
    <row r="11" spans="1:5" ht="15" x14ac:dyDescent="0.25">
      <c r="A11" s="1" t="s">
        <v>903</v>
      </c>
      <c r="B11" s="4">
        <v>-17886.25</v>
      </c>
      <c r="C11" s="5">
        <v>0</v>
      </c>
      <c r="D11" s="6" t="s">
        <v>1414</v>
      </c>
      <c r="E11" s="6">
        <v>0</v>
      </c>
    </row>
    <row r="12" spans="1:5" ht="15" x14ac:dyDescent="0.25">
      <c r="A12" s="1" t="s">
        <v>1045</v>
      </c>
      <c r="B12" s="4">
        <v>-9927.14</v>
      </c>
      <c r="C12" s="5">
        <v>0</v>
      </c>
      <c r="D12" s="6" t="s">
        <v>1414</v>
      </c>
      <c r="E12" s="6">
        <v>6.2441999999999998E-2</v>
      </c>
    </row>
    <row r="13" spans="1:5" ht="15" x14ac:dyDescent="0.25">
      <c r="A13" s="1" t="s">
        <v>382</v>
      </c>
      <c r="B13" s="4">
        <v>-103.62</v>
      </c>
      <c r="C13" s="5">
        <v>0</v>
      </c>
      <c r="D13" s="6">
        <v>0</v>
      </c>
      <c r="E13" s="6" t="s">
        <v>1414</v>
      </c>
    </row>
    <row r="14" spans="1:5" ht="15" x14ac:dyDescent="0.25">
      <c r="A14" s="1" t="s">
        <v>453</v>
      </c>
      <c r="B14" s="4">
        <v>-636.11</v>
      </c>
      <c r="C14" s="5">
        <v>0</v>
      </c>
      <c r="D14" s="6">
        <v>0</v>
      </c>
      <c r="E14" s="6" t="s">
        <v>1414</v>
      </c>
    </row>
    <row r="15" spans="1:5" ht="15" x14ac:dyDescent="0.25">
      <c r="A15" s="1" t="s">
        <v>224</v>
      </c>
      <c r="B15" s="4">
        <v>-5934.03</v>
      </c>
      <c r="C15" s="5">
        <v>0</v>
      </c>
      <c r="D15" s="6">
        <v>1</v>
      </c>
      <c r="E15" s="6">
        <v>0</v>
      </c>
    </row>
    <row r="16" spans="1:5" ht="15" x14ac:dyDescent="0.25">
      <c r="A16" s="1" t="s">
        <v>819</v>
      </c>
      <c r="B16" s="4">
        <v>-1022.45</v>
      </c>
      <c r="C16" s="5">
        <v>0</v>
      </c>
      <c r="D16" s="6">
        <v>0</v>
      </c>
      <c r="E16" s="6" t="s">
        <v>1414</v>
      </c>
    </row>
    <row r="17" spans="1:5" ht="15" x14ac:dyDescent="0.25">
      <c r="A17" s="1" t="s">
        <v>454</v>
      </c>
      <c r="B17" s="4">
        <v>-1106.71</v>
      </c>
      <c r="C17" s="5">
        <v>0</v>
      </c>
      <c r="D17" s="6">
        <v>1</v>
      </c>
      <c r="E17" s="6" t="s">
        <v>1414</v>
      </c>
    </row>
    <row r="18" spans="1:5" ht="15" x14ac:dyDescent="0.25">
      <c r="A18" s="1" t="s">
        <v>973</v>
      </c>
      <c r="B18" s="4">
        <v>0</v>
      </c>
      <c r="C18" s="5">
        <v>0</v>
      </c>
      <c r="D18" s="6" t="s">
        <v>1414</v>
      </c>
      <c r="E18" s="6" t="s">
        <v>1414</v>
      </c>
    </row>
    <row r="19" spans="1:5" ht="15" x14ac:dyDescent="0.25">
      <c r="A19" s="1" t="s">
        <v>1046</v>
      </c>
      <c r="B19" s="4">
        <v>-569.91999999999996</v>
      </c>
      <c r="C19" s="5">
        <v>0</v>
      </c>
      <c r="D19" s="6">
        <v>1</v>
      </c>
      <c r="E19" s="6" t="s">
        <v>1414</v>
      </c>
    </row>
    <row r="20" spans="1:5" ht="15" x14ac:dyDescent="0.25">
      <c r="A20" s="1" t="s">
        <v>78</v>
      </c>
      <c r="B20" s="4">
        <v>-8700.42</v>
      </c>
      <c r="C20" s="5">
        <v>0</v>
      </c>
      <c r="D20" s="6">
        <v>0</v>
      </c>
      <c r="E20" s="6">
        <v>0</v>
      </c>
    </row>
    <row r="21" spans="1:5" x14ac:dyDescent="0.3">
      <c r="A21" s="1" t="s">
        <v>674</v>
      </c>
      <c r="B21" s="4">
        <v>-692.2</v>
      </c>
      <c r="C21" s="5">
        <v>0</v>
      </c>
      <c r="D21" s="6">
        <v>1</v>
      </c>
      <c r="E21" s="6" t="s">
        <v>1414</v>
      </c>
    </row>
    <row r="22" spans="1:5" x14ac:dyDescent="0.3">
      <c r="A22" s="1" t="s">
        <v>79</v>
      </c>
      <c r="B22" s="4">
        <v>-1318.19</v>
      </c>
      <c r="C22" s="5">
        <v>0</v>
      </c>
      <c r="D22" s="6" t="s">
        <v>1414</v>
      </c>
      <c r="E22" s="6" t="s">
        <v>1414</v>
      </c>
    </row>
    <row r="23" spans="1:5" x14ac:dyDescent="0.3">
      <c r="A23" s="1" t="s">
        <v>744</v>
      </c>
      <c r="B23" s="4">
        <v>0</v>
      </c>
      <c r="C23" s="5">
        <v>0</v>
      </c>
      <c r="D23" s="6" t="s">
        <v>1414</v>
      </c>
      <c r="E23" s="6">
        <v>0</v>
      </c>
    </row>
    <row r="24" spans="1:5" x14ac:dyDescent="0.3">
      <c r="A24" s="1" t="s">
        <v>1047</v>
      </c>
      <c r="B24" s="4">
        <v>0</v>
      </c>
      <c r="C24" s="5">
        <v>0</v>
      </c>
      <c r="D24" s="6" t="s">
        <v>1414</v>
      </c>
      <c r="E24" s="6" t="s">
        <v>1414</v>
      </c>
    </row>
    <row r="25" spans="1:5" x14ac:dyDescent="0.3">
      <c r="A25" s="1" t="s">
        <v>599</v>
      </c>
      <c r="B25" s="4">
        <v>-1974.04</v>
      </c>
      <c r="C25" s="5">
        <v>0</v>
      </c>
      <c r="D25" s="6">
        <v>1</v>
      </c>
      <c r="E25" s="6">
        <v>0</v>
      </c>
    </row>
    <row r="26" spans="1:5" x14ac:dyDescent="0.3">
      <c r="A26" s="1" t="s">
        <v>745</v>
      </c>
      <c r="B26" s="4">
        <v>-426.75</v>
      </c>
      <c r="C26" s="5">
        <v>0</v>
      </c>
      <c r="D26" s="6">
        <v>1</v>
      </c>
      <c r="E26" s="6">
        <v>1</v>
      </c>
    </row>
    <row r="27" spans="1:5" x14ac:dyDescent="0.3">
      <c r="A27" s="1" t="s">
        <v>904</v>
      </c>
      <c r="B27" s="4">
        <v>-2620.9</v>
      </c>
      <c r="C27" s="5">
        <v>0</v>
      </c>
      <c r="D27" s="6">
        <v>1</v>
      </c>
      <c r="E27" s="6">
        <v>0</v>
      </c>
    </row>
    <row r="28" spans="1:5" x14ac:dyDescent="0.3">
      <c r="A28" s="1" t="s">
        <v>526</v>
      </c>
      <c r="B28" s="4">
        <v>-1781.52</v>
      </c>
      <c r="C28" s="5">
        <v>0</v>
      </c>
      <c r="D28" s="6">
        <v>0</v>
      </c>
      <c r="E28" s="6">
        <v>0</v>
      </c>
    </row>
    <row r="29" spans="1:5" x14ac:dyDescent="0.3">
      <c r="A29" s="1" t="s">
        <v>298</v>
      </c>
      <c r="B29" s="4">
        <v>0</v>
      </c>
      <c r="C29" s="5">
        <v>0</v>
      </c>
      <c r="D29" s="6" t="s">
        <v>1414</v>
      </c>
      <c r="E29" s="6" t="s">
        <v>1414</v>
      </c>
    </row>
    <row r="30" spans="1:5" x14ac:dyDescent="0.3">
      <c r="A30" s="1" t="s">
        <v>455</v>
      </c>
      <c r="B30" s="4">
        <v>-5819.71</v>
      </c>
      <c r="C30" s="5">
        <v>0</v>
      </c>
      <c r="D30" s="6" t="s">
        <v>1414</v>
      </c>
      <c r="E30" s="6">
        <v>0</v>
      </c>
    </row>
    <row r="31" spans="1:5" x14ac:dyDescent="0.3">
      <c r="A31" s="1" t="s">
        <v>1124</v>
      </c>
      <c r="B31" s="4">
        <v>0</v>
      </c>
      <c r="C31" s="5">
        <v>0</v>
      </c>
      <c r="D31" s="6">
        <v>0</v>
      </c>
      <c r="E31" s="6">
        <v>0</v>
      </c>
    </row>
    <row r="32" spans="1:5" x14ac:dyDescent="0.3">
      <c r="A32" s="1" t="s">
        <v>1125</v>
      </c>
      <c r="B32" s="4">
        <v>-1202.8699999999999</v>
      </c>
      <c r="C32" s="5">
        <v>0</v>
      </c>
      <c r="D32" s="6" t="s">
        <v>1414</v>
      </c>
      <c r="E32" s="6">
        <v>1</v>
      </c>
    </row>
    <row r="33" spans="1:5" x14ac:dyDescent="0.3">
      <c r="A33" s="1" t="s">
        <v>456</v>
      </c>
      <c r="B33" s="4">
        <v>0</v>
      </c>
      <c r="C33" s="5">
        <v>0</v>
      </c>
      <c r="D33" s="6" t="s">
        <v>1414</v>
      </c>
      <c r="E33" s="6" t="s">
        <v>1414</v>
      </c>
    </row>
    <row r="34" spans="1:5" x14ac:dyDescent="0.3">
      <c r="A34" s="1" t="s">
        <v>600</v>
      </c>
      <c r="B34" s="4">
        <v>0</v>
      </c>
      <c r="C34" s="5">
        <v>0</v>
      </c>
      <c r="D34" s="6" t="s">
        <v>1414</v>
      </c>
      <c r="E34" s="6" t="s">
        <v>1414</v>
      </c>
    </row>
    <row r="35" spans="1:5" x14ac:dyDescent="0.3">
      <c r="A35" s="1" t="s">
        <v>974</v>
      </c>
      <c r="B35" s="4">
        <v>-343.13</v>
      </c>
      <c r="C35" s="5">
        <v>0</v>
      </c>
      <c r="D35" s="6">
        <v>1</v>
      </c>
      <c r="E35" s="6" t="s">
        <v>1414</v>
      </c>
    </row>
    <row r="36" spans="1:5" x14ac:dyDescent="0.3">
      <c r="A36" s="1" t="s">
        <v>150</v>
      </c>
      <c r="B36" s="4">
        <v>0</v>
      </c>
      <c r="C36" s="5">
        <v>0</v>
      </c>
      <c r="D36" s="6" t="s">
        <v>1414</v>
      </c>
      <c r="E36" s="6" t="s">
        <v>1414</v>
      </c>
    </row>
    <row r="37" spans="1:5" x14ac:dyDescent="0.3">
      <c r="A37" s="1" t="s">
        <v>299</v>
      </c>
      <c r="B37" s="4">
        <v>-1868.32</v>
      </c>
      <c r="C37" s="5">
        <v>0</v>
      </c>
      <c r="D37" s="6" t="s">
        <v>1414</v>
      </c>
      <c r="E37" s="6" t="s">
        <v>1414</v>
      </c>
    </row>
    <row r="38" spans="1:5" x14ac:dyDescent="0.3">
      <c r="A38" s="1" t="s">
        <v>675</v>
      </c>
      <c r="B38" s="4">
        <v>0</v>
      </c>
      <c r="C38" s="5">
        <v>0</v>
      </c>
      <c r="D38" s="6" t="s">
        <v>1414</v>
      </c>
      <c r="E38" s="6" t="s">
        <v>1414</v>
      </c>
    </row>
    <row r="39" spans="1:5" x14ac:dyDescent="0.3">
      <c r="A39" s="1" t="s">
        <v>5</v>
      </c>
      <c r="B39" s="4">
        <v>0</v>
      </c>
      <c r="C39" s="5">
        <v>0</v>
      </c>
      <c r="D39" s="6" t="s">
        <v>1414</v>
      </c>
      <c r="E39" s="6">
        <v>1</v>
      </c>
    </row>
    <row r="40" spans="1:5" x14ac:dyDescent="0.3">
      <c r="A40" s="1" t="s">
        <v>527</v>
      </c>
      <c r="B40" s="4">
        <v>-38201.440000000002</v>
      </c>
      <c r="C40" s="5">
        <v>0</v>
      </c>
      <c r="D40" s="6">
        <v>1</v>
      </c>
      <c r="E40" s="6">
        <v>0</v>
      </c>
    </row>
    <row r="41" spans="1:5" x14ac:dyDescent="0.3">
      <c r="A41" s="1" t="s">
        <v>676</v>
      </c>
      <c r="B41" s="4">
        <v>-1814.03</v>
      </c>
      <c r="C41" s="5">
        <v>0</v>
      </c>
      <c r="D41" s="6" t="s">
        <v>1414</v>
      </c>
      <c r="E41" s="6">
        <v>0</v>
      </c>
    </row>
    <row r="42" spans="1:5" x14ac:dyDescent="0.3">
      <c r="A42" s="1" t="s">
        <v>151</v>
      </c>
      <c r="B42" s="4">
        <v>-1017.42</v>
      </c>
      <c r="C42" s="5">
        <v>0</v>
      </c>
      <c r="D42" s="6" t="s">
        <v>1414</v>
      </c>
      <c r="E42" s="6" t="s">
        <v>1414</v>
      </c>
    </row>
    <row r="43" spans="1:5" x14ac:dyDescent="0.3">
      <c r="A43" s="1" t="s">
        <v>1126</v>
      </c>
      <c r="B43" s="4">
        <v>0</v>
      </c>
      <c r="C43" s="5">
        <v>0</v>
      </c>
      <c r="D43" s="6" t="s">
        <v>1414</v>
      </c>
      <c r="E43" s="6" t="s">
        <v>1414</v>
      </c>
    </row>
    <row r="44" spans="1:5" x14ac:dyDescent="0.3">
      <c r="A44" s="1" t="s">
        <v>1127</v>
      </c>
      <c r="B44" s="4">
        <v>-728.59</v>
      </c>
      <c r="C44" s="5">
        <v>0</v>
      </c>
      <c r="D44" s="6" t="s">
        <v>1414</v>
      </c>
      <c r="E44" s="6" t="s">
        <v>1414</v>
      </c>
    </row>
    <row r="45" spans="1:5" x14ac:dyDescent="0.3">
      <c r="A45" s="1" t="s">
        <v>6</v>
      </c>
      <c r="B45" s="4">
        <v>-1299.99</v>
      </c>
      <c r="C45" s="5">
        <v>0</v>
      </c>
      <c r="D45" s="6" t="s">
        <v>1414</v>
      </c>
      <c r="E45" s="6" t="s">
        <v>1414</v>
      </c>
    </row>
    <row r="46" spans="1:5" x14ac:dyDescent="0.3">
      <c r="A46" s="1" t="s">
        <v>746</v>
      </c>
      <c r="B46" s="4">
        <v>0</v>
      </c>
      <c r="C46" s="5">
        <v>0</v>
      </c>
      <c r="D46" s="6" t="s">
        <v>1414</v>
      </c>
      <c r="E46" s="6" t="s">
        <v>1414</v>
      </c>
    </row>
    <row r="47" spans="1:5" x14ac:dyDescent="0.3">
      <c r="A47" s="1" t="s">
        <v>677</v>
      </c>
      <c r="B47" s="4">
        <v>0</v>
      </c>
      <c r="C47" s="5">
        <v>0</v>
      </c>
      <c r="D47" s="6" t="s">
        <v>1414</v>
      </c>
      <c r="E47" s="6" t="s">
        <v>1414</v>
      </c>
    </row>
    <row r="48" spans="1:5" x14ac:dyDescent="0.3">
      <c r="A48" s="1" t="s">
        <v>747</v>
      </c>
      <c r="B48" s="4">
        <v>-2032.7</v>
      </c>
      <c r="C48" s="5">
        <v>0</v>
      </c>
      <c r="D48" s="6">
        <v>1</v>
      </c>
      <c r="E48" s="6" t="s">
        <v>1414</v>
      </c>
    </row>
    <row r="49" spans="1:5" x14ac:dyDescent="0.3">
      <c r="A49" s="1" t="s">
        <v>300</v>
      </c>
      <c r="B49" s="4">
        <v>0</v>
      </c>
      <c r="C49" s="5">
        <v>0</v>
      </c>
      <c r="D49" s="6" t="s">
        <v>1414</v>
      </c>
      <c r="E49" s="6" t="s">
        <v>1414</v>
      </c>
    </row>
    <row r="50" spans="1:5" x14ac:dyDescent="0.3">
      <c r="A50" s="1" t="s">
        <v>820</v>
      </c>
      <c r="B50" s="4">
        <v>0</v>
      </c>
      <c r="C50" s="5">
        <v>0</v>
      </c>
      <c r="D50" s="6" t="s">
        <v>1414</v>
      </c>
      <c r="E50" s="6" t="s">
        <v>1414</v>
      </c>
    </row>
    <row r="51" spans="1:5" x14ac:dyDescent="0.3">
      <c r="A51" s="1" t="s">
        <v>152</v>
      </c>
      <c r="B51" s="4">
        <v>-2547.1</v>
      </c>
      <c r="C51" s="5">
        <v>0</v>
      </c>
      <c r="D51" s="6">
        <v>1</v>
      </c>
      <c r="E51" s="6">
        <v>1</v>
      </c>
    </row>
    <row r="52" spans="1:5" x14ac:dyDescent="0.3">
      <c r="A52" s="1" t="s">
        <v>383</v>
      </c>
      <c r="B52" s="4">
        <v>-658.51999999999703</v>
      </c>
      <c r="C52" s="5">
        <v>0</v>
      </c>
      <c r="D52" s="6">
        <v>0</v>
      </c>
      <c r="E52" s="6">
        <v>1</v>
      </c>
    </row>
    <row r="53" spans="1:5" x14ac:dyDescent="0.3">
      <c r="A53" s="1" t="s">
        <v>457</v>
      </c>
      <c r="B53" s="4">
        <v>-777.01</v>
      </c>
      <c r="C53" s="5">
        <v>0</v>
      </c>
      <c r="D53" s="6">
        <v>1</v>
      </c>
      <c r="E53" s="6" t="s">
        <v>1414</v>
      </c>
    </row>
    <row r="54" spans="1:5" x14ac:dyDescent="0.3">
      <c r="A54" s="1" t="s">
        <v>301</v>
      </c>
      <c r="B54" s="4">
        <v>0</v>
      </c>
      <c r="C54" s="5">
        <v>0</v>
      </c>
      <c r="D54" s="6" t="s">
        <v>1414</v>
      </c>
      <c r="E54" s="6" t="s">
        <v>1414</v>
      </c>
    </row>
    <row r="55" spans="1:5" x14ac:dyDescent="0.3">
      <c r="A55" s="1" t="s">
        <v>7</v>
      </c>
      <c r="B55" s="4">
        <v>-986.95</v>
      </c>
      <c r="C55" s="5">
        <v>0</v>
      </c>
      <c r="D55" s="6">
        <v>1</v>
      </c>
      <c r="E55" s="6" t="s">
        <v>1414</v>
      </c>
    </row>
    <row r="56" spans="1:5" x14ac:dyDescent="0.3">
      <c r="A56" s="1" t="s">
        <v>1048</v>
      </c>
      <c r="B56" s="4">
        <v>0</v>
      </c>
      <c r="C56" s="5">
        <v>0</v>
      </c>
      <c r="D56" s="6" t="s">
        <v>1414</v>
      </c>
      <c r="E56" s="6" t="s">
        <v>1414</v>
      </c>
    </row>
    <row r="57" spans="1:5" x14ac:dyDescent="0.3">
      <c r="A57" s="1" t="s">
        <v>975</v>
      </c>
      <c r="B57" s="4">
        <v>-165.94</v>
      </c>
      <c r="C57" s="5">
        <v>0</v>
      </c>
      <c r="D57" s="6">
        <v>0</v>
      </c>
      <c r="E57" s="6" t="s">
        <v>1414</v>
      </c>
    </row>
    <row r="58" spans="1:5" x14ac:dyDescent="0.3">
      <c r="A58" s="1" t="s">
        <v>601</v>
      </c>
      <c r="B58" s="4">
        <v>2033.49</v>
      </c>
      <c r="C58" s="5">
        <v>0</v>
      </c>
      <c r="D58" s="6" t="s">
        <v>1414</v>
      </c>
      <c r="E58" s="6" t="s">
        <v>1414</v>
      </c>
    </row>
    <row r="59" spans="1:5" x14ac:dyDescent="0.3">
      <c r="A59" s="1" t="s">
        <v>528</v>
      </c>
      <c r="B59" s="4">
        <v>0</v>
      </c>
      <c r="C59" s="5">
        <v>0</v>
      </c>
      <c r="D59" s="6" t="s">
        <v>1414</v>
      </c>
      <c r="E59" s="6" t="s">
        <v>1414</v>
      </c>
    </row>
    <row r="60" spans="1:5" x14ac:dyDescent="0.3">
      <c r="A60" s="1" t="s">
        <v>976</v>
      </c>
      <c r="B60" s="4">
        <v>-1382.84</v>
      </c>
      <c r="C60" s="5">
        <v>0</v>
      </c>
      <c r="D60" s="6">
        <v>0</v>
      </c>
      <c r="E60" s="6">
        <v>1</v>
      </c>
    </row>
    <row r="61" spans="1:5" x14ac:dyDescent="0.3">
      <c r="A61" s="1" t="s">
        <v>302</v>
      </c>
      <c r="B61" s="4">
        <v>-819.65</v>
      </c>
      <c r="C61" s="5">
        <v>0</v>
      </c>
      <c r="D61" s="6" t="s">
        <v>1414</v>
      </c>
      <c r="E61" s="6">
        <v>0</v>
      </c>
    </row>
    <row r="62" spans="1:5" x14ac:dyDescent="0.3">
      <c r="A62" s="1" t="s">
        <v>8</v>
      </c>
      <c r="B62" s="4">
        <v>-1270.69</v>
      </c>
      <c r="C62" s="5">
        <v>0</v>
      </c>
      <c r="D62" s="6">
        <v>1</v>
      </c>
      <c r="E62" s="6">
        <v>0.31481999999999999</v>
      </c>
    </row>
    <row r="63" spans="1:5" x14ac:dyDescent="0.3">
      <c r="A63" s="1" t="s">
        <v>1128</v>
      </c>
      <c r="B63" s="4">
        <v>0</v>
      </c>
      <c r="C63" s="5">
        <v>0</v>
      </c>
      <c r="D63" s="6" t="s">
        <v>1414</v>
      </c>
      <c r="E63" s="6" t="s">
        <v>1414</v>
      </c>
    </row>
    <row r="64" spans="1:5" x14ac:dyDescent="0.3">
      <c r="A64" s="1" t="s">
        <v>225</v>
      </c>
      <c r="B64" s="4">
        <v>0</v>
      </c>
      <c r="C64" s="5">
        <v>0</v>
      </c>
      <c r="D64" s="6" t="s">
        <v>1414</v>
      </c>
      <c r="E64" s="6">
        <v>0</v>
      </c>
    </row>
    <row r="65" spans="1:5" x14ac:dyDescent="0.3">
      <c r="A65" s="1" t="s">
        <v>153</v>
      </c>
      <c r="B65" s="4">
        <v>0</v>
      </c>
      <c r="C65" s="5">
        <v>0</v>
      </c>
      <c r="D65" s="6" t="s">
        <v>1414</v>
      </c>
      <c r="E65" s="6" t="s">
        <v>1414</v>
      </c>
    </row>
    <row r="66" spans="1:5" x14ac:dyDescent="0.3">
      <c r="A66" s="1" t="s">
        <v>303</v>
      </c>
      <c r="B66" s="4">
        <v>0</v>
      </c>
      <c r="C66" s="5">
        <v>0</v>
      </c>
      <c r="D66" s="6" t="s">
        <v>1414</v>
      </c>
      <c r="E66" s="6" t="s">
        <v>1414</v>
      </c>
    </row>
    <row r="67" spans="1:5" x14ac:dyDescent="0.3">
      <c r="A67" s="1" t="s">
        <v>821</v>
      </c>
      <c r="B67" s="4">
        <v>-775.39</v>
      </c>
      <c r="C67" s="5">
        <v>0</v>
      </c>
      <c r="D67" s="6" t="s">
        <v>1414</v>
      </c>
      <c r="E67" s="6" t="s">
        <v>1414</v>
      </c>
    </row>
    <row r="68" spans="1:5" x14ac:dyDescent="0.3">
      <c r="A68" s="1" t="s">
        <v>9</v>
      </c>
      <c r="B68" s="4">
        <v>0</v>
      </c>
      <c r="C68" s="5">
        <v>0</v>
      </c>
      <c r="D68" s="6" t="s">
        <v>1414</v>
      </c>
      <c r="E68" s="6" t="s">
        <v>1414</v>
      </c>
    </row>
    <row r="69" spans="1:5" x14ac:dyDescent="0.3">
      <c r="A69" s="1" t="s">
        <v>1129</v>
      </c>
      <c r="B69" s="4">
        <v>0</v>
      </c>
      <c r="C69" s="5">
        <v>0</v>
      </c>
      <c r="D69" s="6" t="s">
        <v>1414</v>
      </c>
      <c r="E69" s="6" t="s">
        <v>1414</v>
      </c>
    </row>
    <row r="70" spans="1:5" x14ac:dyDescent="0.3">
      <c r="A70" s="1" t="s">
        <v>905</v>
      </c>
      <c r="B70" s="4">
        <v>0</v>
      </c>
      <c r="C70" s="5">
        <v>0</v>
      </c>
      <c r="D70" s="6" t="s">
        <v>1414</v>
      </c>
      <c r="E70" s="6" t="s">
        <v>1414</v>
      </c>
    </row>
    <row r="71" spans="1:5" x14ac:dyDescent="0.3">
      <c r="A71" s="1" t="s">
        <v>748</v>
      </c>
      <c r="B71" s="4">
        <v>0</v>
      </c>
      <c r="C71" s="5">
        <v>0</v>
      </c>
      <c r="D71" s="6" t="s">
        <v>1414</v>
      </c>
      <c r="E71" s="6" t="s">
        <v>1414</v>
      </c>
    </row>
    <row r="72" spans="1:5" x14ac:dyDescent="0.3">
      <c r="A72" s="1" t="s">
        <v>602</v>
      </c>
      <c r="B72" s="4">
        <v>-390.24</v>
      </c>
      <c r="C72" s="5">
        <v>0</v>
      </c>
      <c r="D72" s="6">
        <v>1</v>
      </c>
      <c r="E72" s="6" t="s">
        <v>1414</v>
      </c>
    </row>
    <row r="73" spans="1:5" x14ac:dyDescent="0.3">
      <c r="A73" s="1" t="s">
        <v>977</v>
      </c>
      <c r="B73" s="4">
        <v>0</v>
      </c>
      <c r="C73" s="5">
        <v>0</v>
      </c>
      <c r="D73" s="6" t="s">
        <v>1414</v>
      </c>
      <c r="E73" s="6" t="s">
        <v>1414</v>
      </c>
    </row>
    <row r="74" spans="1:5" x14ac:dyDescent="0.3">
      <c r="A74" s="1" t="s">
        <v>603</v>
      </c>
      <c r="B74" s="4">
        <v>-8412.0400000000009</v>
      </c>
      <c r="C74" s="5">
        <v>0</v>
      </c>
      <c r="D74" s="6">
        <v>0</v>
      </c>
      <c r="E74" s="6">
        <v>0.35708600000000001</v>
      </c>
    </row>
    <row r="75" spans="1:5" x14ac:dyDescent="0.3">
      <c r="A75" s="1" t="s">
        <v>978</v>
      </c>
      <c r="B75" s="4">
        <v>0</v>
      </c>
      <c r="C75" s="5">
        <v>0</v>
      </c>
      <c r="D75" s="6" t="s">
        <v>1414</v>
      </c>
      <c r="E75" s="6" t="s">
        <v>1414</v>
      </c>
    </row>
    <row r="76" spans="1:5" x14ac:dyDescent="0.3">
      <c r="A76" s="1" t="s">
        <v>1130</v>
      </c>
      <c r="B76" s="4">
        <v>-10890.73</v>
      </c>
      <c r="C76" s="5">
        <v>0</v>
      </c>
      <c r="D76" s="6" t="s">
        <v>1414</v>
      </c>
      <c r="E76" s="6">
        <v>0</v>
      </c>
    </row>
    <row r="77" spans="1:5" x14ac:dyDescent="0.3">
      <c r="A77" s="1" t="s">
        <v>458</v>
      </c>
      <c r="B77" s="4">
        <v>0</v>
      </c>
      <c r="C77" s="5">
        <v>0</v>
      </c>
      <c r="D77" s="6">
        <v>1</v>
      </c>
      <c r="E77" s="6">
        <v>1</v>
      </c>
    </row>
    <row r="78" spans="1:5" x14ac:dyDescent="0.3">
      <c r="A78" s="1" t="s">
        <v>529</v>
      </c>
      <c r="B78" s="4">
        <v>-597.83000000000004</v>
      </c>
      <c r="C78" s="5">
        <v>0</v>
      </c>
      <c r="D78" s="6" t="s">
        <v>1414</v>
      </c>
      <c r="E78" s="6" t="s">
        <v>1414</v>
      </c>
    </row>
    <row r="79" spans="1:5" x14ac:dyDescent="0.3">
      <c r="A79" s="1" t="s">
        <v>906</v>
      </c>
      <c r="B79" s="4">
        <v>-8544.19</v>
      </c>
      <c r="C79" s="5">
        <v>0</v>
      </c>
      <c r="D79" s="6">
        <v>0</v>
      </c>
      <c r="E79" s="6">
        <v>0</v>
      </c>
    </row>
    <row r="80" spans="1:5" x14ac:dyDescent="0.3">
      <c r="A80" s="1" t="s">
        <v>384</v>
      </c>
      <c r="B80" s="4">
        <v>0</v>
      </c>
      <c r="C80" s="5">
        <v>0</v>
      </c>
      <c r="D80" s="6" t="s">
        <v>1414</v>
      </c>
      <c r="E80" s="6" t="s">
        <v>1414</v>
      </c>
    </row>
    <row r="81" spans="1:5" x14ac:dyDescent="0.3">
      <c r="A81" s="1" t="s">
        <v>1049</v>
      </c>
      <c r="B81" s="4">
        <v>0</v>
      </c>
      <c r="C81" s="5">
        <v>0</v>
      </c>
      <c r="D81" s="6" t="s">
        <v>1414</v>
      </c>
      <c r="E81" s="6" t="s">
        <v>1414</v>
      </c>
    </row>
    <row r="82" spans="1:5" x14ac:dyDescent="0.3">
      <c r="A82" s="1" t="s">
        <v>604</v>
      </c>
      <c r="B82" s="4">
        <v>0</v>
      </c>
      <c r="C82" s="5">
        <v>0</v>
      </c>
      <c r="D82" s="6" t="s">
        <v>1414</v>
      </c>
      <c r="E82" s="6" t="s">
        <v>1414</v>
      </c>
    </row>
    <row r="83" spans="1:5" x14ac:dyDescent="0.3">
      <c r="A83" s="1" t="s">
        <v>154</v>
      </c>
      <c r="B83" s="4">
        <v>0</v>
      </c>
      <c r="C83" s="5">
        <v>0</v>
      </c>
      <c r="D83" s="6" t="s">
        <v>1414</v>
      </c>
      <c r="E83" s="6" t="s">
        <v>1414</v>
      </c>
    </row>
    <row r="84" spans="1:5" x14ac:dyDescent="0.3">
      <c r="A84" s="1" t="s">
        <v>979</v>
      </c>
      <c r="B84" s="4">
        <v>0</v>
      </c>
      <c r="C84" s="5">
        <v>0</v>
      </c>
      <c r="D84" s="6">
        <v>1</v>
      </c>
      <c r="E84" s="6">
        <v>0</v>
      </c>
    </row>
    <row r="85" spans="1:5" x14ac:dyDescent="0.3">
      <c r="A85" s="1" t="s">
        <v>1050</v>
      </c>
      <c r="B85" s="4">
        <v>-6331.62</v>
      </c>
      <c r="C85" s="5">
        <v>0</v>
      </c>
      <c r="D85" s="6" t="s">
        <v>1414</v>
      </c>
      <c r="E85" s="6">
        <v>0</v>
      </c>
    </row>
    <row r="86" spans="1:5" x14ac:dyDescent="0.3">
      <c r="A86" s="1" t="s">
        <v>80</v>
      </c>
      <c r="B86" s="4">
        <v>-4033.69</v>
      </c>
      <c r="C86" s="5">
        <v>0</v>
      </c>
      <c r="D86" s="6" t="s">
        <v>1414</v>
      </c>
      <c r="E86" s="6">
        <v>0.19123599999999999</v>
      </c>
    </row>
    <row r="87" spans="1:5" x14ac:dyDescent="0.3">
      <c r="A87" s="1" t="s">
        <v>907</v>
      </c>
      <c r="B87" s="4">
        <v>0</v>
      </c>
      <c r="C87" s="5">
        <v>0</v>
      </c>
      <c r="D87" s="6" t="s">
        <v>1414</v>
      </c>
      <c r="E87" s="6" t="s">
        <v>1414</v>
      </c>
    </row>
    <row r="88" spans="1:5" x14ac:dyDescent="0.3">
      <c r="A88" s="1" t="s">
        <v>226</v>
      </c>
      <c r="B88" s="4">
        <v>0</v>
      </c>
      <c r="C88" s="5">
        <v>0</v>
      </c>
      <c r="D88" s="6" t="s">
        <v>1414</v>
      </c>
      <c r="E88" s="6" t="s">
        <v>1414</v>
      </c>
    </row>
    <row r="89" spans="1:5" x14ac:dyDescent="0.3">
      <c r="A89" s="1" t="s">
        <v>908</v>
      </c>
      <c r="B89" s="4">
        <v>-652.42999999999995</v>
      </c>
      <c r="C89" s="5">
        <v>0</v>
      </c>
      <c r="D89" s="6" t="s">
        <v>1414</v>
      </c>
      <c r="E89" s="6">
        <v>1</v>
      </c>
    </row>
    <row r="90" spans="1:5" x14ac:dyDescent="0.3">
      <c r="A90" s="1" t="s">
        <v>749</v>
      </c>
      <c r="B90" s="4">
        <v>-1636.28</v>
      </c>
      <c r="C90" s="5">
        <v>0</v>
      </c>
      <c r="D90" s="6">
        <v>0</v>
      </c>
      <c r="E90" s="6" t="s">
        <v>1414</v>
      </c>
    </row>
    <row r="91" spans="1:5" x14ac:dyDescent="0.3">
      <c r="A91" s="1" t="s">
        <v>1051</v>
      </c>
      <c r="B91" s="4">
        <v>0</v>
      </c>
      <c r="C91" s="5">
        <v>0</v>
      </c>
      <c r="D91" s="6" t="s">
        <v>1414</v>
      </c>
      <c r="E91" s="6" t="s">
        <v>1414</v>
      </c>
    </row>
    <row r="92" spans="1:5" x14ac:dyDescent="0.3">
      <c r="A92" s="1" t="s">
        <v>227</v>
      </c>
      <c r="B92" s="4">
        <v>0</v>
      </c>
      <c r="C92" s="5">
        <v>0</v>
      </c>
      <c r="D92" s="6" t="s">
        <v>1414</v>
      </c>
      <c r="E92" s="6" t="s">
        <v>1414</v>
      </c>
    </row>
    <row r="93" spans="1:5" x14ac:dyDescent="0.3">
      <c r="A93" s="1" t="s">
        <v>10</v>
      </c>
      <c r="B93" s="4">
        <v>0</v>
      </c>
      <c r="C93" s="5">
        <v>0</v>
      </c>
      <c r="D93" s="6" t="s">
        <v>1414</v>
      </c>
      <c r="E93" s="6" t="s">
        <v>1414</v>
      </c>
    </row>
    <row r="94" spans="1:5" x14ac:dyDescent="0.3">
      <c r="A94" s="1" t="s">
        <v>228</v>
      </c>
      <c r="B94" s="4">
        <v>0</v>
      </c>
      <c r="C94" s="5">
        <v>0</v>
      </c>
      <c r="D94" s="6" t="s">
        <v>1414</v>
      </c>
      <c r="E94" s="6" t="s">
        <v>1414</v>
      </c>
    </row>
    <row r="95" spans="1:5" x14ac:dyDescent="0.3">
      <c r="A95" s="1" t="s">
        <v>822</v>
      </c>
      <c r="B95" s="4">
        <v>0</v>
      </c>
      <c r="C95" s="5">
        <v>0</v>
      </c>
      <c r="D95" s="6" t="s">
        <v>1414</v>
      </c>
      <c r="E95" s="6">
        <v>0</v>
      </c>
    </row>
    <row r="96" spans="1:5" x14ac:dyDescent="0.3">
      <c r="A96" s="1" t="s">
        <v>1052</v>
      </c>
      <c r="B96" s="4">
        <v>-15485.24</v>
      </c>
      <c r="C96" s="5">
        <v>0</v>
      </c>
      <c r="D96" s="6" t="s">
        <v>1414</v>
      </c>
      <c r="E96" s="6" t="s">
        <v>1414</v>
      </c>
    </row>
    <row r="97" spans="1:5" x14ac:dyDescent="0.3">
      <c r="A97" s="1" t="s">
        <v>1053</v>
      </c>
      <c r="B97" s="4">
        <v>0</v>
      </c>
      <c r="C97" s="5">
        <v>0</v>
      </c>
      <c r="D97" s="6" t="s">
        <v>1414</v>
      </c>
      <c r="E97" s="6" t="s">
        <v>1414</v>
      </c>
    </row>
    <row r="98" spans="1:5" x14ac:dyDescent="0.3">
      <c r="A98" s="1" t="s">
        <v>980</v>
      </c>
      <c r="B98" s="4">
        <v>0</v>
      </c>
      <c r="C98" s="5">
        <v>0</v>
      </c>
      <c r="D98" s="6" t="s">
        <v>1414</v>
      </c>
      <c r="E98" s="6" t="s">
        <v>1414</v>
      </c>
    </row>
    <row r="99" spans="1:5" x14ac:dyDescent="0.3">
      <c r="A99" s="1" t="s">
        <v>385</v>
      </c>
      <c r="B99" s="4">
        <v>0</v>
      </c>
      <c r="C99" s="5">
        <v>0</v>
      </c>
      <c r="D99" s="6" t="s">
        <v>1414</v>
      </c>
      <c r="E99" s="6" t="s">
        <v>1414</v>
      </c>
    </row>
    <row r="100" spans="1:5" x14ac:dyDescent="0.3">
      <c r="A100" s="1" t="s">
        <v>304</v>
      </c>
      <c r="B100" s="4">
        <v>-587.92999999999995</v>
      </c>
      <c r="C100" s="5">
        <v>0</v>
      </c>
      <c r="D100" s="6">
        <v>1</v>
      </c>
      <c r="E100" s="6" t="s">
        <v>1414</v>
      </c>
    </row>
    <row r="101" spans="1:5" x14ac:dyDescent="0.3">
      <c r="A101" s="1" t="s">
        <v>386</v>
      </c>
      <c r="B101" s="4">
        <v>-2679.89</v>
      </c>
      <c r="C101" s="5">
        <v>0</v>
      </c>
      <c r="D101" s="6">
        <v>1</v>
      </c>
      <c r="E101" s="6" t="s">
        <v>1414</v>
      </c>
    </row>
    <row r="102" spans="1:5" x14ac:dyDescent="0.3">
      <c r="A102" s="1" t="s">
        <v>1054</v>
      </c>
      <c r="B102" s="4">
        <v>-433.23</v>
      </c>
      <c r="C102" s="5">
        <v>0</v>
      </c>
      <c r="D102" s="6" t="s">
        <v>1414</v>
      </c>
      <c r="E102" s="6">
        <v>0</v>
      </c>
    </row>
    <row r="103" spans="1:5" x14ac:dyDescent="0.3">
      <c r="A103" s="1" t="s">
        <v>305</v>
      </c>
      <c r="B103" s="4">
        <v>0</v>
      </c>
      <c r="C103" s="5">
        <v>0</v>
      </c>
      <c r="D103" s="6" t="s">
        <v>1414</v>
      </c>
      <c r="E103" s="6" t="s">
        <v>1414</v>
      </c>
    </row>
    <row r="104" spans="1:5" x14ac:dyDescent="0.3">
      <c r="A104" s="1" t="s">
        <v>909</v>
      </c>
      <c r="B104" s="4">
        <v>-1803.24</v>
      </c>
      <c r="C104" s="5">
        <v>0</v>
      </c>
      <c r="D104" s="6" t="s">
        <v>1414</v>
      </c>
      <c r="E104" s="6">
        <v>0</v>
      </c>
    </row>
    <row r="105" spans="1:5" x14ac:dyDescent="0.3">
      <c r="A105" s="1" t="s">
        <v>823</v>
      </c>
      <c r="B105" s="4">
        <v>0</v>
      </c>
      <c r="C105" s="5">
        <v>0</v>
      </c>
      <c r="D105" s="6" t="s">
        <v>1414</v>
      </c>
      <c r="E105" s="6" t="s">
        <v>1414</v>
      </c>
    </row>
    <row r="106" spans="1:5" x14ac:dyDescent="0.3">
      <c r="A106" s="1" t="s">
        <v>11</v>
      </c>
      <c r="B106" s="4">
        <v>-7378.44</v>
      </c>
      <c r="C106" s="5">
        <v>0</v>
      </c>
      <c r="D106" s="6" t="s">
        <v>1414</v>
      </c>
      <c r="E106" s="6">
        <v>0</v>
      </c>
    </row>
    <row r="107" spans="1:5" x14ac:dyDescent="0.3">
      <c r="A107" s="1" t="s">
        <v>530</v>
      </c>
      <c r="B107" s="4">
        <v>-1205.6300000000001</v>
      </c>
      <c r="C107" s="5">
        <v>0</v>
      </c>
      <c r="D107" s="6" t="s">
        <v>1414</v>
      </c>
      <c r="E107" s="6">
        <v>1</v>
      </c>
    </row>
    <row r="108" spans="1:5" x14ac:dyDescent="0.3">
      <c r="A108" s="1" t="s">
        <v>387</v>
      </c>
      <c r="B108" s="4">
        <v>-518.07000000000005</v>
      </c>
      <c r="C108" s="5">
        <v>0</v>
      </c>
      <c r="D108" s="6">
        <v>1</v>
      </c>
      <c r="E108" s="6" t="s">
        <v>1414</v>
      </c>
    </row>
    <row r="109" spans="1:5" x14ac:dyDescent="0.3">
      <c r="A109" s="1" t="s">
        <v>155</v>
      </c>
      <c r="B109" s="4">
        <v>0</v>
      </c>
      <c r="C109" s="5">
        <v>0</v>
      </c>
      <c r="D109" s="6" t="s">
        <v>1414</v>
      </c>
      <c r="E109" s="6" t="s">
        <v>1414</v>
      </c>
    </row>
    <row r="110" spans="1:5" x14ac:dyDescent="0.3">
      <c r="A110" s="1" t="s">
        <v>306</v>
      </c>
      <c r="B110" s="4">
        <v>0</v>
      </c>
      <c r="C110" s="5">
        <v>0</v>
      </c>
      <c r="D110" s="6" t="s">
        <v>1414</v>
      </c>
      <c r="E110" s="6" t="s">
        <v>1414</v>
      </c>
    </row>
    <row r="111" spans="1:5" x14ac:dyDescent="0.3">
      <c r="A111" s="1" t="s">
        <v>678</v>
      </c>
      <c r="B111" s="4">
        <v>0</v>
      </c>
      <c r="C111" s="5">
        <v>0</v>
      </c>
      <c r="D111" s="6" t="s">
        <v>1414</v>
      </c>
      <c r="E111" s="6" t="s">
        <v>1414</v>
      </c>
    </row>
    <row r="112" spans="1:5" x14ac:dyDescent="0.3">
      <c r="A112" s="1" t="s">
        <v>531</v>
      </c>
      <c r="B112" s="4">
        <v>0</v>
      </c>
      <c r="C112" s="5">
        <v>0</v>
      </c>
      <c r="D112" s="6">
        <v>0</v>
      </c>
      <c r="E112" s="6" t="s">
        <v>1414</v>
      </c>
    </row>
    <row r="113" spans="1:5" x14ac:dyDescent="0.3">
      <c r="A113" s="1" t="s">
        <v>459</v>
      </c>
      <c r="B113" s="4">
        <v>0</v>
      </c>
      <c r="C113" s="5">
        <v>0</v>
      </c>
      <c r="D113" s="6" t="s">
        <v>1414</v>
      </c>
      <c r="E113" s="6">
        <v>1</v>
      </c>
    </row>
    <row r="114" spans="1:5" x14ac:dyDescent="0.3">
      <c r="A114" s="1" t="s">
        <v>12</v>
      </c>
      <c r="B114" s="4">
        <v>0</v>
      </c>
      <c r="C114" s="5">
        <v>0</v>
      </c>
      <c r="D114" s="6" t="s">
        <v>1414</v>
      </c>
      <c r="E114" s="6" t="s">
        <v>1414</v>
      </c>
    </row>
    <row r="115" spans="1:5" x14ac:dyDescent="0.3">
      <c r="A115" s="1" t="s">
        <v>1131</v>
      </c>
      <c r="B115" s="4">
        <v>0</v>
      </c>
      <c r="C115" s="5">
        <v>0</v>
      </c>
      <c r="D115" s="6" t="s">
        <v>1414</v>
      </c>
      <c r="E115" s="6" t="s">
        <v>1414</v>
      </c>
    </row>
    <row r="116" spans="1:5" x14ac:dyDescent="0.3">
      <c r="A116" s="1" t="s">
        <v>605</v>
      </c>
      <c r="B116" s="4">
        <v>-3609.63</v>
      </c>
      <c r="C116" s="5">
        <v>0</v>
      </c>
      <c r="D116" s="6" t="s">
        <v>1414</v>
      </c>
      <c r="E116" s="6">
        <v>0</v>
      </c>
    </row>
    <row r="117" spans="1:5" x14ac:dyDescent="0.3">
      <c r="A117" s="1" t="s">
        <v>750</v>
      </c>
      <c r="B117" s="4">
        <v>-1897.83</v>
      </c>
      <c r="C117" s="5">
        <v>0</v>
      </c>
      <c r="D117" s="6" t="s">
        <v>1414</v>
      </c>
      <c r="E117" s="6" t="s">
        <v>1414</v>
      </c>
    </row>
    <row r="118" spans="1:5" x14ac:dyDescent="0.3">
      <c r="A118" s="1" t="s">
        <v>606</v>
      </c>
      <c r="B118" s="4">
        <v>0</v>
      </c>
      <c r="C118" s="5">
        <v>0</v>
      </c>
      <c r="D118" s="6" t="s">
        <v>1414</v>
      </c>
      <c r="E118" s="6" t="s">
        <v>1414</v>
      </c>
    </row>
    <row r="119" spans="1:5" x14ac:dyDescent="0.3">
      <c r="A119" s="1" t="s">
        <v>679</v>
      </c>
      <c r="B119" s="4">
        <v>0</v>
      </c>
      <c r="C119" s="5">
        <v>0</v>
      </c>
      <c r="D119" s="6" t="s">
        <v>1414</v>
      </c>
      <c r="E119" s="6">
        <v>0</v>
      </c>
    </row>
    <row r="120" spans="1:5" x14ac:dyDescent="0.3">
      <c r="A120" s="1" t="s">
        <v>607</v>
      </c>
      <c r="B120" s="4">
        <v>0</v>
      </c>
      <c r="C120" s="5">
        <v>0</v>
      </c>
      <c r="D120" s="6" t="s">
        <v>1414</v>
      </c>
      <c r="E120" s="6" t="s">
        <v>1414</v>
      </c>
    </row>
    <row r="121" spans="1:5" x14ac:dyDescent="0.3">
      <c r="A121" s="1" t="s">
        <v>1132</v>
      </c>
      <c r="B121" s="4">
        <v>-15953.84</v>
      </c>
      <c r="C121" s="5">
        <v>0</v>
      </c>
      <c r="D121" s="6" t="s">
        <v>1414</v>
      </c>
      <c r="E121" s="6">
        <v>1.8093000000000001E-2</v>
      </c>
    </row>
    <row r="122" spans="1:5" x14ac:dyDescent="0.3">
      <c r="A122" s="1" t="s">
        <v>13</v>
      </c>
      <c r="B122" s="4">
        <v>-11330.68</v>
      </c>
      <c r="C122" s="5">
        <v>0</v>
      </c>
      <c r="D122" s="6">
        <v>1</v>
      </c>
      <c r="E122" s="6">
        <v>0</v>
      </c>
    </row>
    <row r="123" spans="1:5" x14ac:dyDescent="0.3">
      <c r="A123" s="1" t="s">
        <v>910</v>
      </c>
      <c r="B123" s="4">
        <v>-875.83</v>
      </c>
      <c r="C123" s="5">
        <v>0</v>
      </c>
      <c r="D123" s="6">
        <v>0</v>
      </c>
      <c r="E123" s="6">
        <v>1</v>
      </c>
    </row>
    <row r="124" spans="1:5" x14ac:dyDescent="0.3">
      <c r="A124" s="1" t="s">
        <v>307</v>
      </c>
      <c r="B124" s="4">
        <v>-17289.650000000001</v>
      </c>
      <c r="C124" s="5">
        <v>0</v>
      </c>
      <c r="D124" s="6" t="s">
        <v>1414</v>
      </c>
      <c r="E124" s="6">
        <v>0</v>
      </c>
    </row>
    <row r="125" spans="1:5" x14ac:dyDescent="0.3">
      <c r="A125" s="1" t="s">
        <v>824</v>
      </c>
      <c r="B125" s="4">
        <v>-1225.31</v>
      </c>
      <c r="C125" s="5">
        <v>0</v>
      </c>
      <c r="D125" s="6" t="s">
        <v>1414</v>
      </c>
      <c r="E125" s="6" t="s">
        <v>1414</v>
      </c>
    </row>
    <row r="126" spans="1:5" x14ac:dyDescent="0.3">
      <c r="A126" s="1" t="s">
        <v>1055</v>
      </c>
      <c r="B126" s="4">
        <v>-11.38</v>
      </c>
      <c r="C126" s="5">
        <v>0</v>
      </c>
      <c r="D126" s="6" t="s">
        <v>1414</v>
      </c>
      <c r="E126" s="6">
        <v>0</v>
      </c>
    </row>
    <row r="127" spans="1:5" x14ac:dyDescent="0.3">
      <c r="A127" s="1" t="s">
        <v>981</v>
      </c>
      <c r="B127" s="4">
        <v>-2041.88</v>
      </c>
      <c r="C127" s="5">
        <v>0</v>
      </c>
      <c r="D127" s="6">
        <v>8.7811E-2</v>
      </c>
      <c r="E127" s="6" t="s">
        <v>1414</v>
      </c>
    </row>
    <row r="128" spans="1:5" x14ac:dyDescent="0.3">
      <c r="A128" s="1" t="s">
        <v>608</v>
      </c>
      <c r="B128" s="4">
        <v>-426.33999999999799</v>
      </c>
      <c r="C128" s="5">
        <v>0</v>
      </c>
      <c r="D128" s="6">
        <v>1</v>
      </c>
      <c r="E128" s="6">
        <v>0.82231600000000005</v>
      </c>
    </row>
    <row r="129" spans="1:5" x14ac:dyDescent="0.3">
      <c r="A129" s="1" t="s">
        <v>388</v>
      </c>
      <c r="B129" s="4">
        <v>-1839.45</v>
      </c>
      <c r="C129" s="5">
        <v>0</v>
      </c>
      <c r="D129" s="6" t="s">
        <v>1414</v>
      </c>
      <c r="E129" s="6">
        <v>0</v>
      </c>
    </row>
    <row r="130" spans="1:5" x14ac:dyDescent="0.3">
      <c r="A130" s="1" t="s">
        <v>825</v>
      </c>
      <c r="B130" s="4">
        <v>-5590.4</v>
      </c>
      <c r="C130" s="5">
        <v>0</v>
      </c>
      <c r="D130" s="6" t="s">
        <v>1414</v>
      </c>
      <c r="E130" s="6">
        <v>0</v>
      </c>
    </row>
    <row r="131" spans="1:5" x14ac:dyDescent="0.3">
      <c r="A131" s="1" t="s">
        <v>229</v>
      </c>
      <c r="B131" s="4">
        <v>0</v>
      </c>
      <c r="C131" s="5">
        <v>0</v>
      </c>
      <c r="D131" s="6" t="s">
        <v>1414</v>
      </c>
      <c r="E131" s="6" t="s">
        <v>1414</v>
      </c>
    </row>
    <row r="132" spans="1:5" x14ac:dyDescent="0.3">
      <c r="A132" s="1" t="s">
        <v>14</v>
      </c>
      <c r="B132" s="4">
        <v>-31505.26</v>
      </c>
      <c r="C132" s="5">
        <v>0</v>
      </c>
      <c r="D132" s="6">
        <v>0.51202000000000003</v>
      </c>
      <c r="E132" s="6" t="s">
        <v>1414</v>
      </c>
    </row>
    <row r="133" spans="1:5" x14ac:dyDescent="0.3">
      <c r="A133" s="1" t="s">
        <v>230</v>
      </c>
      <c r="B133" s="4">
        <v>-2127.5500000000002</v>
      </c>
      <c r="C133" s="5">
        <v>0</v>
      </c>
      <c r="D133" s="6" t="s">
        <v>1414</v>
      </c>
      <c r="E133" s="6">
        <v>0</v>
      </c>
    </row>
    <row r="134" spans="1:5" x14ac:dyDescent="0.3">
      <c r="A134" s="1" t="s">
        <v>826</v>
      </c>
      <c r="B134" s="4">
        <v>0</v>
      </c>
      <c r="C134" s="5">
        <v>0</v>
      </c>
      <c r="D134" s="6" t="s">
        <v>1414</v>
      </c>
      <c r="E134" s="6" t="s">
        <v>1414</v>
      </c>
    </row>
    <row r="135" spans="1:5" x14ac:dyDescent="0.3">
      <c r="A135" s="1" t="s">
        <v>751</v>
      </c>
      <c r="B135" s="4">
        <v>0</v>
      </c>
      <c r="C135" s="5">
        <v>0</v>
      </c>
      <c r="D135" s="6" t="s">
        <v>1414</v>
      </c>
      <c r="E135" s="6" t="s">
        <v>1414</v>
      </c>
    </row>
    <row r="136" spans="1:5" x14ac:dyDescent="0.3">
      <c r="A136" s="1" t="s">
        <v>532</v>
      </c>
      <c r="B136" s="4">
        <v>-11303.35</v>
      </c>
      <c r="C136" s="5">
        <v>0</v>
      </c>
      <c r="D136" s="6">
        <v>0</v>
      </c>
      <c r="E136" s="6">
        <v>0.75537600000000005</v>
      </c>
    </row>
    <row r="137" spans="1:5" x14ac:dyDescent="0.3">
      <c r="A137" s="1" t="s">
        <v>156</v>
      </c>
      <c r="B137" s="4">
        <v>0</v>
      </c>
      <c r="C137" s="5">
        <v>0</v>
      </c>
      <c r="D137" s="6" t="s">
        <v>1414</v>
      </c>
      <c r="E137" s="6" t="s">
        <v>1414</v>
      </c>
    </row>
    <row r="138" spans="1:5" x14ac:dyDescent="0.3">
      <c r="A138" s="1" t="s">
        <v>1056</v>
      </c>
      <c r="B138" s="4">
        <v>0</v>
      </c>
      <c r="C138" s="5">
        <v>0</v>
      </c>
      <c r="D138" s="6" t="s">
        <v>1414</v>
      </c>
      <c r="E138" s="6" t="s">
        <v>1414</v>
      </c>
    </row>
    <row r="139" spans="1:5" x14ac:dyDescent="0.3">
      <c r="A139" s="1" t="s">
        <v>1057</v>
      </c>
      <c r="B139" s="4">
        <v>0</v>
      </c>
      <c r="C139" s="5">
        <v>0</v>
      </c>
      <c r="D139" s="6" t="s">
        <v>1414</v>
      </c>
      <c r="E139" s="6" t="s">
        <v>1414</v>
      </c>
    </row>
    <row r="140" spans="1:5" x14ac:dyDescent="0.3">
      <c r="A140" s="1" t="s">
        <v>389</v>
      </c>
      <c r="B140" s="4">
        <v>0</v>
      </c>
      <c r="C140" s="5">
        <v>0</v>
      </c>
      <c r="D140" s="6" t="s">
        <v>1414</v>
      </c>
      <c r="E140" s="6" t="s">
        <v>1414</v>
      </c>
    </row>
    <row r="141" spans="1:5" x14ac:dyDescent="0.3">
      <c r="A141" s="1" t="s">
        <v>911</v>
      </c>
      <c r="B141" s="4">
        <v>0</v>
      </c>
      <c r="C141" s="5">
        <v>0</v>
      </c>
      <c r="D141" s="6" t="s">
        <v>1414</v>
      </c>
      <c r="E141" s="6" t="s">
        <v>1414</v>
      </c>
    </row>
    <row r="142" spans="1:5" x14ac:dyDescent="0.3">
      <c r="A142" s="1" t="s">
        <v>912</v>
      </c>
      <c r="B142" s="4">
        <v>0</v>
      </c>
      <c r="C142" s="5">
        <v>0</v>
      </c>
      <c r="D142" s="6" t="s">
        <v>1414</v>
      </c>
      <c r="E142" s="6" t="s">
        <v>1414</v>
      </c>
    </row>
    <row r="143" spans="1:5" x14ac:dyDescent="0.3">
      <c r="A143" s="1" t="s">
        <v>308</v>
      </c>
      <c r="B143" s="4">
        <v>-1177.99</v>
      </c>
      <c r="C143" s="5">
        <v>0</v>
      </c>
      <c r="D143" s="6">
        <v>1</v>
      </c>
      <c r="E143" s="6" t="s">
        <v>1414</v>
      </c>
    </row>
    <row r="144" spans="1:5" x14ac:dyDescent="0.3">
      <c r="A144" s="1" t="s">
        <v>827</v>
      </c>
      <c r="B144" s="4">
        <v>0</v>
      </c>
      <c r="C144" s="5">
        <v>0</v>
      </c>
      <c r="D144" s="6" t="s">
        <v>1414</v>
      </c>
      <c r="E144" s="6">
        <v>0</v>
      </c>
    </row>
    <row r="145" spans="1:5" x14ac:dyDescent="0.3">
      <c r="A145" s="1" t="s">
        <v>1058</v>
      </c>
      <c r="B145" s="4">
        <v>-4608.1099999999997</v>
      </c>
      <c r="C145" s="5">
        <v>0</v>
      </c>
      <c r="D145" s="6" t="s">
        <v>1414</v>
      </c>
      <c r="E145" s="6">
        <v>0</v>
      </c>
    </row>
    <row r="146" spans="1:5" x14ac:dyDescent="0.3">
      <c r="A146" s="1" t="s">
        <v>390</v>
      </c>
      <c r="B146" s="4">
        <v>-12352.57</v>
      </c>
      <c r="C146" s="5">
        <v>0</v>
      </c>
      <c r="D146" s="6">
        <v>1</v>
      </c>
      <c r="E146" s="6" t="s">
        <v>1414</v>
      </c>
    </row>
    <row r="147" spans="1:5" x14ac:dyDescent="0.3">
      <c r="A147" s="1" t="s">
        <v>609</v>
      </c>
      <c r="B147" s="4">
        <v>0</v>
      </c>
      <c r="C147" s="5">
        <v>0</v>
      </c>
      <c r="D147" s="6" t="s">
        <v>1414</v>
      </c>
      <c r="E147" s="6" t="s">
        <v>1414</v>
      </c>
    </row>
    <row r="148" spans="1:5" x14ac:dyDescent="0.3">
      <c r="A148" s="1" t="s">
        <v>391</v>
      </c>
      <c r="B148" s="4">
        <v>0</v>
      </c>
      <c r="C148" s="5">
        <v>0</v>
      </c>
      <c r="D148" s="6" t="s">
        <v>1414</v>
      </c>
      <c r="E148" s="6" t="s">
        <v>1414</v>
      </c>
    </row>
    <row r="149" spans="1:5" x14ac:dyDescent="0.3">
      <c r="A149" s="1" t="s">
        <v>1059</v>
      </c>
      <c r="B149" s="4">
        <v>0</v>
      </c>
      <c r="C149" s="5">
        <v>0</v>
      </c>
      <c r="D149" s="6" t="s">
        <v>1414</v>
      </c>
      <c r="E149" s="6" t="s">
        <v>1414</v>
      </c>
    </row>
    <row r="150" spans="1:5" x14ac:dyDescent="0.3">
      <c r="A150" s="1" t="s">
        <v>533</v>
      </c>
      <c r="B150" s="4">
        <v>0</v>
      </c>
      <c r="C150" s="5">
        <v>0</v>
      </c>
      <c r="D150" s="6" t="s">
        <v>1414</v>
      </c>
      <c r="E150" s="6" t="s">
        <v>1414</v>
      </c>
    </row>
    <row r="151" spans="1:5" x14ac:dyDescent="0.3">
      <c r="A151" s="1" t="s">
        <v>913</v>
      </c>
      <c r="B151" s="4">
        <v>0</v>
      </c>
      <c r="C151" s="5">
        <v>0</v>
      </c>
      <c r="D151" s="6" t="s">
        <v>1414</v>
      </c>
      <c r="E151" s="6" t="s">
        <v>1414</v>
      </c>
    </row>
    <row r="152" spans="1:5" x14ac:dyDescent="0.3">
      <c r="A152" s="1" t="s">
        <v>1060</v>
      </c>
      <c r="B152" s="4">
        <v>-20264.23</v>
      </c>
      <c r="C152" s="5">
        <v>0</v>
      </c>
      <c r="D152" s="6" t="s">
        <v>1414</v>
      </c>
      <c r="E152" s="6">
        <v>1</v>
      </c>
    </row>
    <row r="153" spans="1:5" x14ac:dyDescent="0.3">
      <c r="A153" s="1" t="s">
        <v>752</v>
      </c>
      <c r="B153" s="4">
        <v>0</v>
      </c>
      <c r="C153" s="5">
        <v>0</v>
      </c>
      <c r="D153" s="6" t="s">
        <v>1414</v>
      </c>
      <c r="E153" s="6" t="s">
        <v>1414</v>
      </c>
    </row>
    <row r="154" spans="1:5" x14ac:dyDescent="0.3">
      <c r="A154" s="1" t="s">
        <v>828</v>
      </c>
      <c r="B154" s="4">
        <v>-3049.1</v>
      </c>
      <c r="C154" s="5">
        <v>0</v>
      </c>
      <c r="D154" s="6" t="s">
        <v>1414</v>
      </c>
      <c r="E154" s="6">
        <v>0.790107</v>
      </c>
    </row>
    <row r="155" spans="1:5" x14ac:dyDescent="0.3">
      <c r="A155" s="1" t="s">
        <v>231</v>
      </c>
      <c r="B155" s="4">
        <v>0</v>
      </c>
      <c r="C155" s="5">
        <v>0</v>
      </c>
      <c r="D155" s="6" t="s">
        <v>1414</v>
      </c>
      <c r="E155" s="6" t="s">
        <v>1414</v>
      </c>
    </row>
    <row r="156" spans="1:5" x14ac:dyDescent="0.3">
      <c r="A156" s="1" t="s">
        <v>680</v>
      </c>
      <c r="B156" s="4">
        <v>0</v>
      </c>
      <c r="C156" s="5">
        <v>0</v>
      </c>
      <c r="D156" s="6" t="s">
        <v>1414</v>
      </c>
      <c r="E156" s="6" t="s">
        <v>1414</v>
      </c>
    </row>
    <row r="157" spans="1:5" x14ac:dyDescent="0.3">
      <c r="A157" s="1" t="s">
        <v>460</v>
      </c>
      <c r="B157" s="4">
        <v>-3318.9</v>
      </c>
      <c r="C157" s="5">
        <v>0</v>
      </c>
      <c r="D157" s="6" t="s">
        <v>1414</v>
      </c>
      <c r="E157" s="6">
        <v>0</v>
      </c>
    </row>
    <row r="158" spans="1:5" x14ac:dyDescent="0.3">
      <c r="A158" s="1" t="s">
        <v>232</v>
      </c>
      <c r="B158" s="4">
        <v>-945.97</v>
      </c>
      <c r="C158" s="5">
        <v>0</v>
      </c>
      <c r="D158" s="6">
        <v>1</v>
      </c>
      <c r="E158" s="6" t="s">
        <v>1414</v>
      </c>
    </row>
    <row r="159" spans="1:5" x14ac:dyDescent="0.3">
      <c r="A159" s="1" t="s">
        <v>15</v>
      </c>
      <c r="B159" s="4">
        <v>0</v>
      </c>
      <c r="C159" s="5">
        <v>0</v>
      </c>
      <c r="D159" s="6" t="s">
        <v>1414</v>
      </c>
      <c r="E159" s="6" t="s">
        <v>1414</v>
      </c>
    </row>
    <row r="160" spans="1:5" x14ac:dyDescent="0.3">
      <c r="A160" s="1" t="s">
        <v>681</v>
      </c>
      <c r="B160" s="4">
        <v>-5990.11</v>
      </c>
      <c r="C160" s="5">
        <v>0</v>
      </c>
      <c r="D160" s="6" t="s">
        <v>1414</v>
      </c>
      <c r="E160" s="6">
        <v>0.24981100000000001</v>
      </c>
    </row>
    <row r="161" spans="1:5" x14ac:dyDescent="0.3">
      <c r="A161" s="1" t="s">
        <v>982</v>
      </c>
      <c r="B161" s="4">
        <v>0</v>
      </c>
      <c r="C161" s="5">
        <v>0</v>
      </c>
      <c r="D161" s="6" t="s">
        <v>1414</v>
      </c>
      <c r="E161" s="6" t="s">
        <v>1414</v>
      </c>
    </row>
    <row r="162" spans="1:5" x14ac:dyDescent="0.3">
      <c r="A162" s="1" t="s">
        <v>157</v>
      </c>
      <c r="B162" s="4">
        <v>-16182.02</v>
      </c>
      <c r="C162" s="5">
        <v>0</v>
      </c>
      <c r="D162" s="6" t="s">
        <v>1414</v>
      </c>
      <c r="E162" s="6">
        <v>0</v>
      </c>
    </row>
    <row r="163" spans="1:5" x14ac:dyDescent="0.3">
      <c r="A163" s="1" t="s">
        <v>534</v>
      </c>
      <c r="B163" s="4">
        <v>-22247.85</v>
      </c>
      <c r="C163" s="5">
        <v>0</v>
      </c>
      <c r="D163" s="6">
        <v>1</v>
      </c>
      <c r="E163" s="6">
        <v>0</v>
      </c>
    </row>
    <row r="164" spans="1:5" x14ac:dyDescent="0.3">
      <c r="A164" s="1" t="s">
        <v>461</v>
      </c>
      <c r="B164" s="4">
        <v>0</v>
      </c>
      <c r="C164" s="5">
        <v>0</v>
      </c>
      <c r="D164" s="6" t="s">
        <v>1414</v>
      </c>
      <c r="E164" s="6" t="s">
        <v>1414</v>
      </c>
    </row>
    <row r="165" spans="1:5" x14ac:dyDescent="0.3">
      <c r="A165" s="1" t="s">
        <v>233</v>
      </c>
      <c r="B165" s="4">
        <v>0</v>
      </c>
      <c r="C165" s="5">
        <v>0</v>
      </c>
      <c r="D165" s="6" t="s">
        <v>1414</v>
      </c>
      <c r="E165" s="6" t="s">
        <v>1414</v>
      </c>
    </row>
    <row r="166" spans="1:5" x14ac:dyDescent="0.3">
      <c r="A166" s="1" t="s">
        <v>1133</v>
      </c>
      <c r="B166" s="4">
        <v>-416.19</v>
      </c>
      <c r="C166" s="5">
        <v>0</v>
      </c>
      <c r="D166" s="6" t="s">
        <v>1414</v>
      </c>
      <c r="E166" s="6" t="s">
        <v>1414</v>
      </c>
    </row>
    <row r="167" spans="1:5" x14ac:dyDescent="0.3">
      <c r="A167" s="1" t="s">
        <v>81</v>
      </c>
      <c r="B167" s="4">
        <v>-8300.6200000000008</v>
      </c>
      <c r="C167" s="5">
        <v>0</v>
      </c>
      <c r="D167" s="6" t="s">
        <v>1414</v>
      </c>
      <c r="E167" s="6">
        <v>0</v>
      </c>
    </row>
    <row r="168" spans="1:5" x14ac:dyDescent="0.3">
      <c r="A168" s="1" t="s">
        <v>1061</v>
      </c>
      <c r="B168" s="4">
        <v>0</v>
      </c>
      <c r="C168" s="5">
        <v>0</v>
      </c>
      <c r="D168" s="6" t="s">
        <v>1414</v>
      </c>
      <c r="E168" s="6" t="s">
        <v>1414</v>
      </c>
    </row>
    <row r="169" spans="1:5" x14ac:dyDescent="0.3">
      <c r="A169" s="1" t="s">
        <v>16</v>
      </c>
      <c r="B169" s="4">
        <v>0</v>
      </c>
      <c r="C169" s="5">
        <v>0</v>
      </c>
      <c r="D169" s="6">
        <v>0</v>
      </c>
      <c r="E169" s="6" t="s">
        <v>1414</v>
      </c>
    </row>
    <row r="170" spans="1:5" x14ac:dyDescent="0.3">
      <c r="A170" s="1" t="s">
        <v>234</v>
      </c>
      <c r="B170" s="4">
        <v>-697.14</v>
      </c>
      <c r="C170" s="5">
        <v>0</v>
      </c>
      <c r="D170" s="6" t="s">
        <v>1414</v>
      </c>
      <c r="E170" s="6" t="s">
        <v>1414</v>
      </c>
    </row>
    <row r="171" spans="1:5" x14ac:dyDescent="0.3">
      <c r="A171" s="1" t="s">
        <v>309</v>
      </c>
      <c r="B171" s="4">
        <v>0</v>
      </c>
      <c r="C171" s="5">
        <v>0</v>
      </c>
      <c r="D171" s="6" t="s">
        <v>1414</v>
      </c>
      <c r="E171" s="6" t="s">
        <v>1414</v>
      </c>
    </row>
    <row r="172" spans="1:5" x14ac:dyDescent="0.3">
      <c r="A172" s="1" t="s">
        <v>535</v>
      </c>
      <c r="B172" s="4">
        <v>0</v>
      </c>
      <c r="C172" s="5">
        <v>0</v>
      </c>
      <c r="D172" s="6" t="s">
        <v>1414</v>
      </c>
      <c r="E172" s="6" t="s">
        <v>1414</v>
      </c>
    </row>
    <row r="173" spans="1:5" x14ac:dyDescent="0.3">
      <c r="A173" s="1" t="s">
        <v>158</v>
      </c>
      <c r="B173" s="4">
        <v>0</v>
      </c>
      <c r="C173" s="5">
        <v>0</v>
      </c>
      <c r="D173" s="6" t="s">
        <v>1414</v>
      </c>
      <c r="E173" s="6" t="s">
        <v>1414</v>
      </c>
    </row>
    <row r="174" spans="1:5" x14ac:dyDescent="0.3">
      <c r="A174" s="1" t="s">
        <v>914</v>
      </c>
      <c r="B174" s="4">
        <v>-332.71</v>
      </c>
      <c r="C174" s="5">
        <v>0</v>
      </c>
      <c r="D174" s="6">
        <v>0</v>
      </c>
      <c r="E174" s="6" t="s">
        <v>1414</v>
      </c>
    </row>
    <row r="175" spans="1:5" x14ac:dyDescent="0.3">
      <c r="A175" s="1" t="s">
        <v>310</v>
      </c>
      <c r="B175" s="4">
        <v>-34379.1</v>
      </c>
      <c r="C175" s="5">
        <v>0</v>
      </c>
      <c r="D175" s="6">
        <v>0.469995</v>
      </c>
      <c r="E175" s="6">
        <v>0</v>
      </c>
    </row>
    <row r="176" spans="1:5" x14ac:dyDescent="0.3">
      <c r="A176" s="1" t="s">
        <v>983</v>
      </c>
      <c r="B176" s="4">
        <v>-27886.33</v>
      </c>
      <c r="C176" s="5">
        <v>0</v>
      </c>
      <c r="D176" s="6" t="s">
        <v>1414</v>
      </c>
      <c r="E176" s="6">
        <v>0</v>
      </c>
    </row>
    <row r="177" spans="1:5" x14ac:dyDescent="0.3">
      <c r="A177" s="1" t="s">
        <v>1062</v>
      </c>
      <c r="B177" s="4">
        <v>-1294.8699999999999</v>
      </c>
      <c r="C177" s="5">
        <v>0</v>
      </c>
      <c r="D177" s="6" t="s">
        <v>1414</v>
      </c>
      <c r="E177" s="6">
        <v>0</v>
      </c>
    </row>
    <row r="178" spans="1:5" x14ac:dyDescent="0.3">
      <c r="A178" s="1" t="s">
        <v>392</v>
      </c>
      <c r="B178" s="4">
        <v>-638.47</v>
      </c>
      <c r="C178" s="5">
        <v>0</v>
      </c>
      <c r="D178" s="6" t="s">
        <v>1414</v>
      </c>
      <c r="E178" s="6" t="s">
        <v>1414</v>
      </c>
    </row>
    <row r="179" spans="1:5" x14ac:dyDescent="0.3">
      <c r="A179" s="1" t="s">
        <v>393</v>
      </c>
      <c r="B179" s="4">
        <v>0</v>
      </c>
      <c r="C179" s="5">
        <v>0</v>
      </c>
      <c r="D179" s="6" t="s">
        <v>1414</v>
      </c>
      <c r="E179" s="6" t="s">
        <v>1414</v>
      </c>
    </row>
    <row r="180" spans="1:5" x14ac:dyDescent="0.3">
      <c r="A180" s="1" t="s">
        <v>1063</v>
      </c>
      <c r="B180" s="4">
        <v>-450.96</v>
      </c>
      <c r="C180" s="5">
        <v>0</v>
      </c>
      <c r="D180" s="6" t="s">
        <v>1414</v>
      </c>
      <c r="E180" s="6" t="s">
        <v>1414</v>
      </c>
    </row>
    <row r="181" spans="1:5" x14ac:dyDescent="0.3">
      <c r="A181" s="1" t="s">
        <v>536</v>
      </c>
      <c r="B181" s="4">
        <v>0</v>
      </c>
      <c r="C181" s="5">
        <v>0</v>
      </c>
      <c r="D181" s="6" t="s">
        <v>1414</v>
      </c>
      <c r="E181" s="6" t="s">
        <v>1414</v>
      </c>
    </row>
    <row r="182" spans="1:5" x14ac:dyDescent="0.3">
      <c r="A182" s="1" t="s">
        <v>17</v>
      </c>
      <c r="B182" s="4">
        <v>0</v>
      </c>
      <c r="C182" s="5">
        <v>0</v>
      </c>
      <c r="D182" s="6" t="s">
        <v>1414</v>
      </c>
      <c r="E182" s="6">
        <v>0</v>
      </c>
    </row>
    <row r="183" spans="1:5" x14ac:dyDescent="0.3">
      <c r="A183" s="1" t="s">
        <v>18</v>
      </c>
      <c r="B183" s="4">
        <v>0</v>
      </c>
      <c r="C183" s="5">
        <v>0</v>
      </c>
      <c r="D183" s="6" t="s">
        <v>1414</v>
      </c>
      <c r="E183" s="6" t="s">
        <v>1414</v>
      </c>
    </row>
    <row r="184" spans="1:5" x14ac:dyDescent="0.3">
      <c r="A184" s="1" t="s">
        <v>537</v>
      </c>
      <c r="B184" s="4">
        <v>-294.29000000000002</v>
      </c>
      <c r="C184" s="5">
        <v>0</v>
      </c>
      <c r="D184" s="6" t="s">
        <v>1414</v>
      </c>
      <c r="E184" s="6" t="s">
        <v>1414</v>
      </c>
    </row>
    <row r="185" spans="1:5" x14ac:dyDescent="0.3">
      <c r="A185" s="1" t="s">
        <v>984</v>
      </c>
      <c r="B185" s="4">
        <v>0</v>
      </c>
      <c r="C185" s="5">
        <v>0</v>
      </c>
      <c r="D185" s="6" t="s">
        <v>1414</v>
      </c>
      <c r="E185" s="6" t="s">
        <v>1414</v>
      </c>
    </row>
    <row r="186" spans="1:5" x14ac:dyDescent="0.3">
      <c r="A186" s="1" t="s">
        <v>1653</v>
      </c>
      <c r="B186" s="4">
        <v>0</v>
      </c>
      <c r="C186" s="5">
        <v>0</v>
      </c>
      <c r="D186" s="6" t="s">
        <v>1414</v>
      </c>
      <c r="E186" s="6" t="s">
        <v>1414</v>
      </c>
    </row>
    <row r="187" spans="1:5" x14ac:dyDescent="0.3">
      <c r="A187" s="1" t="s">
        <v>1654</v>
      </c>
      <c r="B187" s="4">
        <v>-23834.23</v>
      </c>
      <c r="C187" s="5">
        <v>0</v>
      </c>
      <c r="D187" s="6" t="s">
        <v>1414</v>
      </c>
      <c r="E187" s="6" t="s">
        <v>1414</v>
      </c>
    </row>
    <row r="188" spans="1:5" x14ac:dyDescent="0.3">
      <c r="A188" s="1" t="s">
        <v>1910</v>
      </c>
      <c r="B188" s="4">
        <v>0</v>
      </c>
      <c r="C188" s="5">
        <v>0</v>
      </c>
      <c r="D188" s="6" t="s">
        <v>1414</v>
      </c>
      <c r="E188" s="6" t="s">
        <v>1414</v>
      </c>
    </row>
    <row r="189" spans="1:5" x14ac:dyDescent="0.3">
      <c r="A189" s="1" t="s">
        <v>1911</v>
      </c>
      <c r="B189" s="4">
        <v>0</v>
      </c>
      <c r="C189" s="5">
        <v>0</v>
      </c>
      <c r="D189" s="6">
        <v>1</v>
      </c>
      <c r="E189" s="6" t="s">
        <v>1414</v>
      </c>
    </row>
    <row r="190" spans="1:5" x14ac:dyDescent="0.3">
      <c r="A190" s="1" t="s">
        <v>1655</v>
      </c>
      <c r="B190" s="4">
        <v>-593.4</v>
      </c>
      <c r="C190" s="5">
        <v>0</v>
      </c>
      <c r="D190" s="6">
        <v>1</v>
      </c>
      <c r="E190" s="6">
        <v>1</v>
      </c>
    </row>
    <row r="191" spans="1:5" x14ac:dyDescent="0.3">
      <c r="A191" s="1" t="s">
        <v>1656</v>
      </c>
      <c r="B191" s="4">
        <v>0</v>
      </c>
      <c r="C191" s="5">
        <v>0</v>
      </c>
      <c r="D191" s="6" t="s">
        <v>1414</v>
      </c>
      <c r="E191" s="6" t="s">
        <v>1414</v>
      </c>
    </row>
    <row r="192" spans="1:5" x14ac:dyDescent="0.3">
      <c r="A192" s="1" t="s">
        <v>1912</v>
      </c>
      <c r="B192" s="4">
        <v>0</v>
      </c>
      <c r="C192" s="5">
        <v>0</v>
      </c>
      <c r="D192" s="6" t="s">
        <v>1414</v>
      </c>
      <c r="E192" s="6" t="s">
        <v>1414</v>
      </c>
    </row>
    <row r="193" spans="1:5" x14ac:dyDescent="0.3">
      <c r="A193" s="1" t="s">
        <v>1913</v>
      </c>
      <c r="B193" s="4">
        <v>0</v>
      </c>
      <c r="C193" s="5">
        <v>0</v>
      </c>
      <c r="D193" s="6" t="s">
        <v>1414</v>
      </c>
      <c r="E193" s="6" t="s">
        <v>1414</v>
      </c>
    </row>
    <row r="194" spans="1:5" x14ac:dyDescent="0.3">
      <c r="A194" s="1" t="s">
        <v>1657</v>
      </c>
      <c r="B194" s="4">
        <v>0</v>
      </c>
      <c r="C194" s="5">
        <v>0</v>
      </c>
      <c r="D194" s="6">
        <v>1</v>
      </c>
      <c r="E194" s="6" t="s">
        <v>1414</v>
      </c>
    </row>
    <row r="195" spans="1:5" x14ac:dyDescent="0.3">
      <c r="A195" s="1" t="s">
        <v>1914</v>
      </c>
      <c r="B195" s="4">
        <v>-169.45</v>
      </c>
      <c r="C195" s="5">
        <v>0</v>
      </c>
      <c r="D195" s="6">
        <v>1</v>
      </c>
      <c r="E195" s="6" t="s">
        <v>1414</v>
      </c>
    </row>
    <row r="196" spans="1:5" x14ac:dyDescent="0.3">
      <c r="A196" s="1" t="s">
        <v>1915</v>
      </c>
      <c r="B196" s="4">
        <v>0</v>
      </c>
      <c r="C196" s="5">
        <v>0</v>
      </c>
      <c r="D196" s="6" t="s">
        <v>1414</v>
      </c>
      <c r="E196" s="6" t="s">
        <v>1414</v>
      </c>
    </row>
    <row r="197" spans="1:5" x14ac:dyDescent="0.3">
      <c r="A197" s="1" t="s">
        <v>1658</v>
      </c>
      <c r="B197" s="4">
        <v>0</v>
      </c>
      <c r="C197" s="5">
        <v>0</v>
      </c>
      <c r="D197" s="6" t="s">
        <v>1414</v>
      </c>
      <c r="E197" s="6" t="s">
        <v>1414</v>
      </c>
    </row>
    <row r="198" spans="1:5" x14ac:dyDescent="0.3">
      <c r="A198" s="1" t="s">
        <v>1916</v>
      </c>
      <c r="B198" s="4">
        <v>0</v>
      </c>
      <c r="C198" s="5">
        <v>0</v>
      </c>
      <c r="D198" s="6">
        <v>0</v>
      </c>
      <c r="E198" s="6" t="s">
        <v>1414</v>
      </c>
    </row>
    <row r="199" spans="1:5" x14ac:dyDescent="0.3">
      <c r="A199" s="1" t="s">
        <v>1659</v>
      </c>
      <c r="B199" s="4">
        <v>-1543.93</v>
      </c>
      <c r="C199" s="5">
        <v>0</v>
      </c>
      <c r="D199" s="6" t="s">
        <v>1414</v>
      </c>
      <c r="E199" s="6">
        <v>0</v>
      </c>
    </row>
    <row r="200" spans="1:5" x14ac:dyDescent="0.3">
      <c r="A200" s="1" t="s">
        <v>1660</v>
      </c>
      <c r="B200" s="4">
        <v>-956.8</v>
      </c>
      <c r="C200" s="5">
        <v>0</v>
      </c>
      <c r="D200" s="6">
        <v>1</v>
      </c>
      <c r="E200" s="6" t="s">
        <v>1414</v>
      </c>
    </row>
    <row r="201" spans="1:5" x14ac:dyDescent="0.3">
      <c r="A201" s="1" t="s">
        <v>1917</v>
      </c>
      <c r="B201" s="4">
        <v>0</v>
      </c>
      <c r="C201" s="5">
        <v>0</v>
      </c>
      <c r="D201" s="6">
        <v>0</v>
      </c>
      <c r="E201" s="6" t="s">
        <v>1414</v>
      </c>
    </row>
    <row r="202" spans="1:5" x14ac:dyDescent="0.3">
      <c r="A202" s="1" t="s">
        <v>1661</v>
      </c>
      <c r="B202" s="4">
        <v>0</v>
      </c>
      <c r="C202" s="5">
        <v>0</v>
      </c>
      <c r="D202" s="6" t="s">
        <v>1414</v>
      </c>
      <c r="E202" s="6" t="s">
        <v>1414</v>
      </c>
    </row>
    <row r="203" spans="1:5" x14ac:dyDescent="0.3">
      <c r="A203" s="1" t="s">
        <v>1918</v>
      </c>
      <c r="B203" s="4">
        <v>-179.14</v>
      </c>
      <c r="C203" s="5">
        <v>0</v>
      </c>
      <c r="D203" s="6" t="s">
        <v>1414</v>
      </c>
      <c r="E203" s="6">
        <v>1</v>
      </c>
    </row>
    <row r="204" spans="1:5" x14ac:dyDescent="0.3">
      <c r="A204" s="1" t="s">
        <v>1919</v>
      </c>
      <c r="B204" s="4">
        <v>0</v>
      </c>
      <c r="C204" s="5">
        <v>0</v>
      </c>
      <c r="D204" s="6" t="s">
        <v>1414</v>
      </c>
      <c r="E204" s="6" t="s">
        <v>1414</v>
      </c>
    </row>
    <row r="205" spans="1:5" x14ac:dyDescent="0.3">
      <c r="A205" s="1" t="s">
        <v>538</v>
      </c>
      <c r="B205" s="4">
        <v>0</v>
      </c>
      <c r="C205" s="5">
        <v>0</v>
      </c>
      <c r="D205" s="6" t="s">
        <v>1414</v>
      </c>
      <c r="E205" s="6" t="s">
        <v>1414</v>
      </c>
    </row>
    <row r="206" spans="1:5" x14ac:dyDescent="0.3">
      <c r="A206" s="1" t="s">
        <v>462</v>
      </c>
      <c r="B206" s="4">
        <v>-1726.91</v>
      </c>
      <c r="C206" s="5">
        <v>0</v>
      </c>
      <c r="D206" s="6">
        <v>1</v>
      </c>
      <c r="E206" s="6" t="s">
        <v>1414</v>
      </c>
    </row>
    <row r="207" spans="1:5" x14ac:dyDescent="0.3">
      <c r="A207" s="1" t="s">
        <v>82</v>
      </c>
      <c r="B207" s="4">
        <v>0</v>
      </c>
      <c r="C207" s="5">
        <v>0</v>
      </c>
      <c r="D207" s="6" t="s">
        <v>1414</v>
      </c>
      <c r="E207" s="6" t="s">
        <v>1414</v>
      </c>
    </row>
    <row r="208" spans="1:5" x14ac:dyDescent="0.3">
      <c r="A208" s="1" t="s">
        <v>539</v>
      </c>
      <c r="B208" s="4">
        <v>0</v>
      </c>
      <c r="C208" s="5">
        <v>0</v>
      </c>
      <c r="D208" s="6" t="s">
        <v>1414</v>
      </c>
      <c r="E208" s="6" t="s">
        <v>1414</v>
      </c>
    </row>
    <row r="209" spans="1:5" x14ac:dyDescent="0.3">
      <c r="A209" s="1" t="s">
        <v>540</v>
      </c>
      <c r="B209" s="4">
        <v>0</v>
      </c>
      <c r="C209" s="5">
        <v>0</v>
      </c>
      <c r="D209" s="6" t="s">
        <v>1414</v>
      </c>
      <c r="E209" s="6" t="s">
        <v>1414</v>
      </c>
    </row>
    <row r="210" spans="1:5" x14ac:dyDescent="0.3">
      <c r="A210" s="1" t="s">
        <v>311</v>
      </c>
      <c r="B210" s="4">
        <v>0</v>
      </c>
      <c r="C210" s="5">
        <v>0</v>
      </c>
      <c r="D210" s="6" t="s">
        <v>1414</v>
      </c>
      <c r="E210" s="6" t="s">
        <v>1414</v>
      </c>
    </row>
    <row r="211" spans="1:5" x14ac:dyDescent="0.3">
      <c r="A211" s="1" t="s">
        <v>83</v>
      </c>
      <c r="B211" s="4">
        <v>0</v>
      </c>
      <c r="C211" s="5">
        <v>0</v>
      </c>
      <c r="D211" s="6" t="s">
        <v>1414</v>
      </c>
      <c r="E211" s="6" t="s">
        <v>1414</v>
      </c>
    </row>
    <row r="212" spans="1:5" x14ac:dyDescent="0.3">
      <c r="A212" s="1" t="s">
        <v>985</v>
      </c>
      <c r="B212" s="4">
        <v>0</v>
      </c>
      <c r="C212" s="5">
        <v>0</v>
      </c>
      <c r="D212" s="6" t="s">
        <v>1414</v>
      </c>
      <c r="E212" s="6" t="s">
        <v>1414</v>
      </c>
    </row>
    <row r="213" spans="1:5" x14ac:dyDescent="0.3">
      <c r="A213" s="1" t="s">
        <v>610</v>
      </c>
      <c r="B213" s="4">
        <v>-1556.09</v>
      </c>
      <c r="C213" s="5">
        <v>0</v>
      </c>
      <c r="D213" s="6" t="s">
        <v>1414</v>
      </c>
      <c r="E213" s="6" t="s">
        <v>1414</v>
      </c>
    </row>
    <row r="214" spans="1:5" x14ac:dyDescent="0.3">
      <c r="A214" s="1" t="s">
        <v>312</v>
      </c>
      <c r="B214" s="4">
        <v>0</v>
      </c>
      <c r="C214" s="5">
        <v>0</v>
      </c>
      <c r="D214" s="6" t="s">
        <v>1414</v>
      </c>
      <c r="E214" s="6" t="s">
        <v>1414</v>
      </c>
    </row>
    <row r="215" spans="1:5" x14ac:dyDescent="0.3">
      <c r="A215" s="1" t="s">
        <v>541</v>
      </c>
      <c r="B215" s="4">
        <v>0</v>
      </c>
      <c r="C215" s="5">
        <v>0</v>
      </c>
      <c r="D215" s="6" t="s">
        <v>1414</v>
      </c>
      <c r="E215" s="6" t="s">
        <v>1414</v>
      </c>
    </row>
    <row r="216" spans="1:5" x14ac:dyDescent="0.3">
      <c r="A216" s="1" t="s">
        <v>159</v>
      </c>
      <c r="B216" s="4">
        <v>0</v>
      </c>
      <c r="C216" s="5">
        <v>0</v>
      </c>
      <c r="D216" s="6" t="s">
        <v>1414</v>
      </c>
      <c r="E216" s="6" t="s">
        <v>1414</v>
      </c>
    </row>
    <row r="217" spans="1:5" x14ac:dyDescent="0.3">
      <c r="A217" s="1" t="s">
        <v>915</v>
      </c>
      <c r="B217" s="4">
        <v>0</v>
      </c>
      <c r="C217" s="5">
        <v>0</v>
      </c>
      <c r="D217" s="6" t="s">
        <v>1414</v>
      </c>
      <c r="E217" s="6" t="s">
        <v>1414</v>
      </c>
    </row>
    <row r="218" spans="1:5" x14ac:dyDescent="0.3">
      <c r="A218" s="1" t="s">
        <v>542</v>
      </c>
      <c r="B218" s="4">
        <v>-29041.03</v>
      </c>
      <c r="C218" s="5">
        <v>0</v>
      </c>
      <c r="D218" s="6">
        <v>1</v>
      </c>
      <c r="E218" s="6">
        <v>0</v>
      </c>
    </row>
    <row r="219" spans="1:5" x14ac:dyDescent="0.3">
      <c r="A219" s="1" t="s">
        <v>313</v>
      </c>
      <c r="B219" s="4">
        <v>0</v>
      </c>
      <c r="C219" s="5">
        <v>0</v>
      </c>
      <c r="D219" s="6" t="s">
        <v>1414</v>
      </c>
      <c r="E219" s="6" t="s">
        <v>1414</v>
      </c>
    </row>
    <row r="220" spans="1:5" x14ac:dyDescent="0.3">
      <c r="A220" s="1" t="s">
        <v>986</v>
      </c>
      <c r="B220" s="4">
        <v>0</v>
      </c>
      <c r="C220" s="5">
        <v>0</v>
      </c>
      <c r="D220" s="6" t="s">
        <v>1414</v>
      </c>
      <c r="E220" s="6">
        <v>1</v>
      </c>
    </row>
    <row r="221" spans="1:5" x14ac:dyDescent="0.3">
      <c r="A221" s="1" t="s">
        <v>1064</v>
      </c>
      <c r="B221" s="4">
        <v>0</v>
      </c>
      <c r="C221" s="5">
        <v>0</v>
      </c>
      <c r="D221" s="6" t="s">
        <v>1414</v>
      </c>
      <c r="E221" s="6" t="s">
        <v>1414</v>
      </c>
    </row>
    <row r="222" spans="1:5" x14ac:dyDescent="0.3">
      <c r="A222" s="1" t="s">
        <v>829</v>
      </c>
      <c r="B222" s="4">
        <v>0</v>
      </c>
      <c r="C222" s="5">
        <v>0</v>
      </c>
      <c r="D222" s="6" t="s">
        <v>1414</v>
      </c>
      <c r="E222" s="6" t="s">
        <v>1414</v>
      </c>
    </row>
    <row r="223" spans="1:5" x14ac:dyDescent="0.3">
      <c r="A223" s="1" t="s">
        <v>84</v>
      </c>
      <c r="B223" s="4">
        <v>0</v>
      </c>
      <c r="C223" s="5">
        <v>0</v>
      </c>
      <c r="D223" s="6" t="s">
        <v>1414</v>
      </c>
      <c r="E223" s="6" t="s">
        <v>1414</v>
      </c>
    </row>
    <row r="224" spans="1:5" x14ac:dyDescent="0.3">
      <c r="A224" s="1" t="s">
        <v>682</v>
      </c>
      <c r="B224" s="4">
        <v>0</v>
      </c>
      <c r="C224" s="5">
        <v>0</v>
      </c>
      <c r="D224" s="6" t="s">
        <v>1414</v>
      </c>
      <c r="E224" s="6" t="s">
        <v>1414</v>
      </c>
    </row>
    <row r="225" spans="1:5" x14ac:dyDescent="0.3">
      <c r="A225" s="1" t="s">
        <v>543</v>
      </c>
      <c r="B225" s="4">
        <v>0</v>
      </c>
      <c r="C225" s="5">
        <v>0</v>
      </c>
      <c r="D225" s="6" t="s">
        <v>1414</v>
      </c>
      <c r="E225" s="6" t="s">
        <v>1414</v>
      </c>
    </row>
    <row r="226" spans="1:5" x14ac:dyDescent="0.3">
      <c r="A226" s="1" t="s">
        <v>683</v>
      </c>
      <c r="B226" s="4">
        <v>0</v>
      </c>
      <c r="C226" s="5">
        <v>0</v>
      </c>
      <c r="D226" s="6" t="s">
        <v>1414</v>
      </c>
      <c r="E226" s="6" t="s">
        <v>1414</v>
      </c>
    </row>
    <row r="227" spans="1:5" x14ac:dyDescent="0.3">
      <c r="A227" s="1" t="s">
        <v>19</v>
      </c>
      <c r="B227" s="4">
        <v>0</v>
      </c>
      <c r="C227" s="5">
        <v>0</v>
      </c>
      <c r="D227" s="6" t="s">
        <v>1414</v>
      </c>
      <c r="E227" s="6" t="s">
        <v>1414</v>
      </c>
    </row>
    <row r="228" spans="1:5" x14ac:dyDescent="0.3">
      <c r="A228" s="1" t="s">
        <v>1662</v>
      </c>
      <c r="B228" s="4">
        <v>25716</v>
      </c>
      <c r="C228" s="5">
        <v>12</v>
      </c>
      <c r="D228" s="6" t="s">
        <v>1414</v>
      </c>
      <c r="E228" s="6" t="s">
        <v>1414</v>
      </c>
    </row>
    <row r="229" spans="1:5" x14ac:dyDescent="0.3">
      <c r="A229" s="1" t="s">
        <v>394</v>
      </c>
      <c r="B229" s="4">
        <v>75804.61</v>
      </c>
      <c r="C229" s="5">
        <v>23</v>
      </c>
      <c r="D229" s="6">
        <v>0.99593600000000004</v>
      </c>
      <c r="E229" s="6">
        <v>1</v>
      </c>
    </row>
    <row r="230" spans="1:5" x14ac:dyDescent="0.3">
      <c r="A230" s="1" t="s">
        <v>1415</v>
      </c>
      <c r="B230" s="4">
        <v>33503.4</v>
      </c>
      <c r="C230" s="5">
        <v>8</v>
      </c>
      <c r="D230" s="6">
        <v>1</v>
      </c>
      <c r="E230" s="6">
        <v>1</v>
      </c>
    </row>
    <row r="231" spans="1:5" x14ac:dyDescent="0.3">
      <c r="A231" s="1" t="s">
        <v>987</v>
      </c>
      <c r="B231" s="4">
        <v>137218.21</v>
      </c>
      <c r="C231" s="5">
        <v>21</v>
      </c>
      <c r="D231" s="6">
        <v>0.99602299999999999</v>
      </c>
      <c r="E231" s="6">
        <v>0.99673400000000001</v>
      </c>
    </row>
    <row r="232" spans="1:5" x14ac:dyDescent="0.3">
      <c r="A232" s="1" t="s">
        <v>684</v>
      </c>
      <c r="B232" s="4">
        <v>-34383.32</v>
      </c>
      <c r="C232" s="5">
        <v>18</v>
      </c>
      <c r="D232" s="6">
        <v>0.970719</v>
      </c>
      <c r="E232" s="6">
        <v>1</v>
      </c>
    </row>
    <row r="233" spans="1:5" x14ac:dyDescent="0.3">
      <c r="A233" s="1" t="s">
        <v>20</v>
      </c>
      <c r="B233" s="4">
        <v>-20936.009999999998</v>
      </c>
      <c r="C233" s="5">
        <v>13</v>
      </c>
      <c r="D233" s="6">
        <v>0.96833999999999998</v>
      </c>
      <c r="E233" s="6">
        <v>0.98868999999999996</v>
      </c>
    </row>
    <row r="234" spans="1:5" x14ac:dyDescent="0.3">
      <c r="A234" s="1" t="s">
        <v>1920</v>
      </c>
      <c r="B234" s="4">
        <v>-121543.31</v>
      </c>
      <c r="C234" s="5">
        <v>11</v>
      </c>
      <c r="D234" s="6">
        <v>0.96467899999999995</v>
      </c>
      <c r="E234" s="6">
        <v>7.8474000000000002E-2</v>
      </c>
    </row>
    <row r="235" spans="1:5" x14ac:dyDescent="0.3">
      <c r="A235" s="1" t="s">
        <v>830</v>
      </c>
      <c r="B235" s="4">
        <v>5242.2299999999996</v>
      </c>
      <c r="C235" s="5">
        <v>21</v>
      </c>
      <c r="D235" s="6">
        <v>0.99604000000000004</v>
      </c>
      <c r="E235" s="6">
        <v>2.8590000000000001E-2</v>
      </c>
    </row>
    <row r="236" spans="1:5" x14ac:dyDescent="0.3">
      <c r="A236" s="1" t="s">
        <v>2019</v>
      </c>
      <c r="B236" s="4">
        <v>0</v>
      </c>
      <c r="C236" s="5">
        <v>0</v>
      </c>
      <c r="D236" s="6" t="s">
        <v>1414</v>
      </c>
      <c r="E236" s="6" t="s">
        <v>1414</v>
      </c>
    </row>
    <row r="237" spans="1:5" x14ac:dyDescent="0.3">
      <c r="A237" s="1" t="s">
        <v>2020</v>
      </c>
      <c r="B237" s="4">
        <v>16350</v>
      </c>
      <c r="C237" s="5">
        <v>3</v>
      </c>
      <c r="D237" s="6" t="s">
        <v>1414</v>
      </c>
      <c r="E237" s="6" t="s">
        <v>1414</v>
      </c>
    </row>
    <row r="238" spans="1:5" x14ac:dyDescent="0.3">
      <c r="A238" s="1" t="s">
        <v>1663</v>
      </c>
      <c r="B238" s="4">
        <v>38196.639999999999</v>
      </c>
      <c r="C238" s="5">
        <v>13</v>
      </c>
      <c r="D238" s="6">
        <v>1</v>
      </c>
      <c r="E238" s="6">
        <v>1</v>
      </c>
    </row>
    <row r="239" spans="1:5" x14ac:dyDescent="0.3">
      <c r="A239" s="1" t="s">
        <v>1416</v>
      </c>
      <c r="B239" s="4">
        <v>214739.34</v>
      </c>
      <c r="C239" s="5">
        <v>21</v>
      </c>
      <c r="D239" s="6">
        <v>0.99928099999999997</v>
      </c>
      <c r="E239" s="6">
        <v>1</v>
      </c>
    </row>
    <row r="240" spans="1:5" x14ac:dyDescent="0.3">
      <c r="A240" s="1" t="s">
        <v>1417</v>
      </c>
      <c r="B240" s="4">
        <v>-36581.11</v>
      </c>
      <c r="C240" s="5">
        <v>24</v>
      </c>
      <c r="D240" s="6">
        <v>0.98153900000000005</v>
      </c>
      <c r="E240" s="6">
        <v>0.85820799999999997</v>
      </c>
    </row>
    <row r="241" spans="1:5" x14ac:dyDescent="0.3">
      <c r="A241" s="1" t="s">
        <v>1065</v>
      </c>
      <c r="B241" s="4">
        <v>-132900.95000000001</v>
      </c>
      <c r="C241" s="5">
        <v>12</v>
      </c>
      <c r="D241" s="6">
        <v>0.99966299999999997</v>
      </c>
      <c r="E241" s="6">
        <v>0.36708400000000002</v>
      </c>
    </row>
    <row r="242" spans="1:5" x14ac:dyDescent="0.3">
      <c r="A242" s="1" t="s">
        <v>2021</v>
      </c>
      <c r="B242" s="4">
        <v>0</v>
      </c>
      <c r="C242" s="5">
        <v>0</v>
      </c>
      <c r="D242" s="6" t="s">
        <v>1414</v>
      </c>
      <c r="E242" s="6" t="s">
        <v>1414</v>
      </c>
    </row>
    <row r="243" spans="1:5" x14ac:dyDescent="0.3">
      <c r="A243" s="1" t="s">
        <v>2022</v>
      </c>
      <c r="B243" s="4">
        <v>217194.5</v>
      </c>
      <c r="C243" s="5">
        <v>18</v>
      </c>
      <c r="D243" s="6">
        <v>1</v>
      </c>
      <c r="E243" s="6" t="s">
        <v>1414</v>
      </c>
    </row>
    <row r="244" spans="1:5" x14ac:dyDescent="0.3">
      <c r="A244" s="1" t="s">
        <v>544</v>
      </c>
      <c r="B244" s="4">
        <v>199725.93</v>
      </c>
      <c r="C244" s="5">
        <v>14</v>
      </c>
      <c r="D244" s="6">
        <v>0.99685199999999996</v>
      </c>
      <c r="E244" s="6" t="s">
        <v>1414</v>
      </c>
    </row>
    <row r="245" spans="1:5" x14ac:dyDescent="0.3">
      <c r="A245" s="1" t="s">
        <v>314</v>
      </c>
      <c r="B245" s="4">
        <v>131714.19</v>
      </c>
      <c r="C245" s="5">
        <v>22</v>
      </c>
      <c r="D245" s="6">
        <v>1</v>
      </c>
      <c r="E245" s="6">
        <v>1</v>
      </c>
    </row>
    <row r="246" spans="1:5" x14ac:dyDescent="0.3">
      <c r="A246" s="1" t="s">
        <v>235</v>
      </c>
      <c r="B246" s="4">
        <v>22931.4</v>
      </c>
      <c r="C246" s="5">
        <v>12</v>
      </c>
      <c r="D246" s="6">
        <v>1</v>
      </c>
      <c r="E246" s="6">
        <v>1</v>
      </c>
    </row>
    <row r="247" spans="1:5" x14ac:dyDescent="0.3">
      <c r="A247" s="1" t="s">
        <v>463</v>
      </c>
      <c r="B247" s="4">
        <v>-158021.21</v>
      </c>
      <c r="C247" s="5">
        <v>0</v>
      </c>
      <c r="D247" s="6">
        <v>0.997336</v>
      </c>
      <c r="E247" s="6">
        <v>3.4099999999999998E-2</v>
      </c>
    </row>
    <row r="248" spans="1:5" x14ac:dyDescent="0.3">
      <c r="A248" s="1" t="s">
        <v>1418</v>
      </c>
      <c r="B248" s="4">
        <v>71437.100000000006</v>
      </c>
      <c r="C248" s="5">
        <v>15</v>
      </c>
      <c r="D248" s="6">
        <v>0.99380299999999999</v>
      </c>
      <c r="E248" s="6">
        <v>0.90896299999999997</v>
      </c>
    </row>
    <row r="249" spans="1:5" x14ac:dyDescent="0.3">
      <c r="A249" s="1" t="s">
        <v>685</v>
      </c>
      <c r="B249" s="4">
        <v>121703.62</v>
      </c>
      <c r="C249" s="5">
        <v>27</v>
      </c>
      <c r="D249" s="6">
        <v>0.98907400000000001</v>
      </c>
      <c r="E249" s="6">
        <v>0.95895900000000001</v>
      </c>
    </row>
    <row r="250" spans="1:5" x14ac:dyDescent="0.3">
      <c r="A250" s="1" t="s">
        <v>916</v>
      </c>
      <c r="B250" s="4">
        <v>101773.03</v>
      </c>
      <c r="C250" s="5">
        <v>16</v>
      </c>
      <c r="D250" s="6">
        <v>1</v>
      </c>
      <c r="E250" s="6">
        <v>1</v>
      </c>
    </row>
    <row r="251" spans="1:5" x14ac:dyDescent="0.3">
      <c r="A251" s="1" t="s">
        <v>1664</v>
      </c>
      <c r="B251" s="4">
        <v>46707.62</v>
      </c>
      <c r="C251" s="5">
        <v>12</v>
      </c>
      <c r="D251" s="6">
        <v>0.99673999999999996</v>
      </c>
      <c r="E251" s="6" t="s">
        <v>1414</v>
      </c>
    </row>
    <row r="252" spans="1:5" x14ac:dyDescent="0.3">
      <c r="A252" s="1" t="s">
        <v>1419</v>
      </c>
      <c r="B252" s="4">
        <v>65447.92</v>
      </c>
      <c r="C252" s="5">
        <v>17</v>
      </c>
      <c r="D252" s="6">
        <v>1</v>
      </c>
      <c r="E252" s="6">
        <v>1</v>
      </c>
    </row>
    <row r="253" spans="1:5" x14ac:dyDescent="0.3">
      <c r="A253" s="1" t="s">
        <v>1921</v>
      </c>
      <c r="B253" s="4">
        <v>130508.26</v>
      </c>
      <c r="C253" s="5">
        <v>17</v>
      </c>
      <c r="D253" s="6">
        <v>1</v>
      </c>
      <c r="E253" s="6" t="s">
        <v>1414</v>
      </c>
    </row>
    <row r="254" spans="1:5" x14ac:dyDescent="0.3">
      <c r="A254" s="1" t="s">
        <v>160</v>
      </c>
      <c r="B254" s="4">
        <v>105029</v>
      </c>
      <c r="C254" s="5">
        <v>15</v>
      </c>
      <c r="D254" s="6">
        <v>0.99831099999999995</v>
      </c>
      <c r="E254" s="6">
        <v>1</v>
      </c>
    </row>
    <row r="255" spans="1:5" x14ac:dyDescent="0.3">
      <c r="A255" s="1" t="s">
        <v>1420</v>
      </c>
      <c r="B255" s="4">
        <v>-30944.17</v>
      </c>
      <c r="C255" s="5">
        <v>30</v>
      </c>
      <c r="D255" s="6">
        <v>0.95340199999999997</v>
      </c>
      <c r="E255" s="6">
        <v>0.364871</v>
      </c>
    </row>
    <row r="256" spans="1:5" x14ac:dyDescent="0.3">
      <c r="A256" s="1" t="s">
        <v>2023</v>
      </c>
      <c r="B256" s="4">
        <v>48678.45</v>
      </c>
      <c r="C256" s="5">
        <v>53</v>
      </c>
      <c r="D256" s="6">
        <v>1</v>
      </c>
      <c r="E256" s="6" t="s">
        <v>1414</v>
      </c>
    </row>
    <row r="257" spans="1:5" x14ac:dyDescent="0.3">
      <c r="A257" s="1" t="s">
        <v>611</v>
      </c>
      <c r="B257" s="4">
        <v>52890.54</v>
      </c>
      <c r="C257" s="5">
        <v>18</v>
      </c>
      <c r="D257" s="6">
        <v>0.99333800000000005</v>
      </c>
      <c r="E257" s="6">
        <v>0.98114999999999997</v>
      </c>
    </row>
    <row r="258" spans="1:5" x14ac:dyDescent="0.3">
      <c r="A258" s="1" t="s">
        <v>1134</v>
      </c>
      <c r="B258" s="4">
        <v>27376.66</v>
      </c>
      <c r="C258" s="5">
        <v>21</v>
      </c>
      <c r="D258" s="6">
        <v>0.99600200000000005</v>
      </c>
      <c r="E258" s="6">
        <v>1</v>
      </c>
    </row>
    <row r="259" spans="1:5" x14ac:dyDescent="0.3">
      <c r="A259" s="1" t="s">
        <v>1421</v>
      </c>
      <c r="B259" s="4">
        <v>14010.31</v>
      </c>
      <c r="C259" s="5">
        <v>14</v>
      </c>
      <c r="D259" s="6">
        <v>0.95864199999999999</v>
      </c>
      <c r="E259" s="6">
        <v>0</v>
      </c>
    </row>
    <row r="260" spans="1:5" x14ac:dyDescent="0.3">
      <c r="A260" s="1" t="s">
        <v>2024</v>
      </c>
      <c r="B260" s="4">
        <v>189057</v>
      </c>
      <c r="C260" s="5">
        <v>7</v>
      </c>
      <c r="D260" s="6" t="s">
        <v>1414</v>
      </c>
      <c r="E260" s="6" t="s">
        <v>1414</v>
      </c>
    </row>
    <row r="261" spans="1:5" x14ac:dyDescent="0.3">
      <c r="A261" s="1" t="s">
        <v>1922</v>
      </c>
      <c r="B261" s="4">
        <v>7374.68</v>
      </c>
      <c r="C261" s="5">
        <v>20</v>
      </c>
      <c r="D261" s="6">
        <v>1</v>
      </c>
      <c r="E261" s="6" t="s">
        <v>1414</v>
      </c>
    </row>
    <row r="262" spans="1:5" x14ac:dyDescent="0.3">
      <c r="A262" s="1" t="s">
        <v>161</v>
      </c>
      <c r="B262" s="4">
        <v>11747</v>
      </c>
      <c r="C262" s="5">
        <v>23</v>
      </c>
      <c r="D262" s="6">
        <v>1</v>
      </c>
      <c r="E262" s="6">
        <v>1</v>
      </c>
    </row>
    <row r="263" spans="1:5" x14ac:dyDescent="0.3">
      <c r="A263" s="1" t="s">
        <v>85</v>
      </c>
      <c r="B263" s="4">
        <v>-101358.71</v>
      </c>
      <c r="C263" s="5">
        <v>14</v>
      </c>
      <c r="D263" s="6">
        <v>0.999081</v>
      </c>
      <c r="E263" s="6">
        <v>8.0015000000000003E-2</v>
      </c>
    </row>
    <row r="264" spans="1:5" x14ac:dyDescent="0.3">
      <c r="A264" s="1" t="s">
        <v>686</v>
      </c>
      <c r="B264" s="4">
        <v>93184.16</v>
      </c>
      <c r="C264" s="5">
        <v>20</v>
      </c>
      <c r="D264" s="6">
        <v>0.989873</v>
      </c>
      <c r="E264" s="6">
        <v>1</v>
      </c>
    </row>
    <row r="265" spans="1:5" x14ac:dyDescent="0.3">
      <c r="A265" s="1" t="s">
        <v>1665</v>
      </c>
      <c r="B265" s="4">
        <v>-7472.92</v>
      </c>
      <c r="C265" s="5">
        <v>51</v>
      </c>
      <c r="D265" s="6">
        <v>1</v>
      </c>
      <c r="E265" s="6" t="s">
        <v>1414</v>
      </c>
    </row>
    <row r="266" spans="1:5" x14ac:dyDescent="0.3">
      <c r="A266" s="1" t="s">
        <v>1666</v>
      </c>
      <c r="B266" s="4">
        <v>36780.660000000003</v>
      </c>
      <c r="C266" s="5">
        <v>12</v>
      </c>
      <c r="D266" s="6">
        <v>1</v>
      </c>
      <c r="E266" s="6" t="s">
        <v>1414</v>
      </c>
    </row>
    <row r="267" spans="1:5" x14ac:dyDescent="0.3">
      <c r="A267" s="1" t="s">
        <v>545</v>
      </c>
      <c r="B267" s="4">
        <v>58371.41</v>
      </c>
      <c r="C267" s="5">
        <v>24</v>
      </c>
      <c r="D267" s="6">
        <v>0.99957600000000002</v>
      </c>
      <c r="E267" s="6">
        <v>1</v>
      </c>
    </row>
    <row r="268" spans="1:5" x14ac:dyDescent="0.3">
      <c r="A268" s="1" t="s">
        <v>831</v>
      </c>
      <c r="B268" s="4">
        <v>-261504.27</v>
      </c>
      <c r="C268" s="5">
        <v>0</v>
      </c>
      <c r="D268" s="6">
        <v>0.98850000000000005</v>
      </c>
      <c r="E268" s="6">
        <v>1</v>
      </c>
    </row>
    <row r="269" spans="1:5" x14ac:dyDescent="0.3">
      <c r="A269" s="1" t="s">
        <v>236</v>
      </c>
      <c r="B269" s="4">
        <v>58242.19</v>
      </c>
      <c r="C269" s="5">
        <v>21</v>
      </c>
      <c r="D269" s="6">
        <v>0.99235600000000002</v>
      </c>
      <c r="E269" s="6">
        <v>0.98391499999999998</v>
      </c>
    </row>
    <row r="270" spans="1:5" x14ac:dyDescent="0.3">
      <c r="A270" s="1" t="s">
        <v>1422</v>
      </c>
      <c r="B270" s="4">
        <v>123865.1</v>
      </c>
      <c r="C270" s="5">
        <v>18</v>
      </c>
      <c r="D270" s="6">
        <v>0.99376399999999998</v>
      </c>
      <c r="E270" s="6">
        <v>0.84209400000000001</v>
      </c>
    </row>
    <row r="271" spans="1:5" x14ac:dyDescent="0.3">
      <c r="A271" s="1" t="s">
        <v>162</v>
      </c>
      <c r="B271" s="4">
        <v>-34017.85</v>
      </c>
      <c r="C271" s="5">
        <v>62</v>
      </c>
      <c r="D271" s="6">
        <v>0.96529200000000004</v>
      </c>
      <c r="E271" s="6">
        <v>0.52366800000000002</v>
      </c>
    </row>
    <row r="272" spans="1:5" x14ac:dyDescent="0.3">
      <c r="A272" s="1" t="s">
        <v>1923</v>
      </c>
      <c r="B272" s="4">
        <v>123198.3</v>
      </c>
      <c r="C272" s="5">
        <v>15</v>
      </c>
      <c r="D272" s="6">
        <v>1</v>
      </c>
      <c r="E272" s="6" t="s">
        <v>1414</v>
      </c>
    </row>
    <row r="273" spans="1:5" x14ac:dyDescent="0.3">
      <c r="A273" s="1" t="s">
        <v>21</v>
      </c>
      <c r="B273" s="4">
        <v>50593.73</v>
      </c>
      <c r="C273" s="5">
        <v>27</v>
      </c>
      <c r="D273" s="6">
        <v>1</v>
      </c>
      <c r="E273" s="6">
        <v>0.923068</v>
      </c>
    </row>
    <row r="274" spans="1:5" x14ac:dyDescent="0.3">
      <c r="A274" s="1" t="s">
        <v>2025</v>
      </c>
      <c r="B274" s="4">
        <v>164705</v>
      </c>
      <c r="C274" s="5">
        <v>12</v>
      </c>
      <c r="D274" s="6" t="s">
        <v>1414</v>
      </c>
      <c r="E274" s="6" t="s">
        <v>1414</v>
      </c>
    </row>
    <row r="275" spans="1:5" x14ac:dyDescent="0.3">
      <c r="A275" s="1" t="s">
        <v>612</v>
      </c>
      <c r="B275" s="4">
        <v>10687.4900000001</v>
      </c>
      <c r="C275" s="5">
        <v>15</v>
      </c>
      <c r="D275" s="6">
        <v>0.96881899999999999</v>
      </c>
      <c r="E275" s="6">
        <v>1</v>
      </c>
    </row>
    <row r="276" spans="1:5" x14ac:dyDescent="0.3">
      <c r="A276" s="1" t="s">
        <v>1423</v>
      </c>
      <c r="B276" s="4">
        <v>31932.09</v>
      </c>
      <c r="C276" s="5">
        <v>8</v>
      </c>
      <c r="D276" s="6">
        <v>1</v>
      </c>
      <c r="E276" s="6" t="s">
        <v>1414</v>
      </c>
    </row>
    <row r="277" spans="1:5" x14ac:dyDescent="0.3">
      <c r="A277" s="1" t="s">
        <v>1924</v>
      </c>
      <c r="B277" s="4">
        <v>32851.35</v>
      </c>
      <c r="C277" s="5">
        <v>33</v>
      </c>
      <c r="D277" s="6">
        <v>0.91784299999999996</v>
      </c>
      <c r="E277" s="6">
        <v>1</v>
      </c>
    </row>
    <row r="278" spans="1:5" x14ac:dyDescent="0.3">
      <c r="A278" s="1" t="s">
        <v>315</v>
      </c>
      <c r="B278" s="4">
        <v>65033.37</v>
      </c>
      <c r="C278" s="5">
        <v>20</v>
      </c>
      <c r="D278" s="6">
        <v>0.99429000000000001</v>
      </c>
      <c r="E278" s="6">
        <v>0.808755</v>
      </c>
    </row>
    <row r="279" spans="1:5" x14ac:dyDescent="0.3">
      <c r="A279" s="1" t="s">
        <v>1667</v>
      </c>
      <c r="B279" s="4">
        <v>137631.23000000001</v>
      </c>
      <c r="C279" s="5">
        <v>16</v>
      </c>
      <c r="D279" s="6">
        <v>0.99635300000000004</v>
      </c>
      <c r="E279" s="6">
        <v>0.92844899999999997</v>
      </c>
    </row>
    <row r="280" spans="1:5" x14ac:dyDescent="0.3">
      <c r="A280" s="1" t="s">
        <v>2026</v>
      </c>
      <c r="B280" s="4">
        <v>28800</v>
      </c>
      <c r="C280" s="5">
        <v>30</v>
      </c>
      <c r="D280" s="6" t="s">
        <v>1414</v>
      </c>
      <c r="E280" s="6" t="s">
        <v>1414</v>
      </c>
    </row>
    <row r="281" spans="1:5" x14ac:dyDescent="0.3">
      <c r="A281" s="1" t="s">
        <v>395</v>
      </c>
      <c r="B281" s="4">
        <v>183948.79</v>
      </c>
      <c r="C281" s="5">
        <v>17</v>
      </c>
      <c r="D281" s="6">
        <v>1</v>
      </c>
      <c r="E281" s="6">
        <v>0.93012499999999998</v>
      </c>
    </row>
    <row r="282" spans="1:5" x14ac:dyDescent="0.3">
      <c r="A282" s="1" t="s">
        <v>1668</v>
      </c>
      <c r="B282" s="4">
        <v>-5618.21</v>
      </c>
      <c r="C282" s="5">
        <v>11</v>
      </c>
      <c r="D282" s="6">
        <v>0.96021299999999998</v>
      </c>
      <c r="E282" s="6" t="s">
        <v>1414</v>
      </c>
    </row>
    <row r="283" spans="1:5" x14ac:dyDescent="0.3">
      <c r="A283" s="1" t="s">
        <v>1066</v>
      </c>
      <c r="B283" s="4">
        <v>64743.08</v>
      </c>
      <c r="C283" s="5">
        <v>26</v>
      </c>
      <c r="D283" s="6">
        <v>0.98390100000000003</v>
      </c>
      <c r="E283" s="6">
        <v>0.90650399999999998</v>
      </c>
    </row>
    <row r="284" spans="1:5" x14ac:dyDescent="0.3">
      <c r="A284" s="1" t="s">
        <v>237</v>
      </c>
      <c r="B284" s="4">
        <v>29328.83</v>
      </c>
      <c r="C284" s="5">
        <v>15</v>
      </c>
      <c r="D284" s="6">
        <v>1</v>
      </c>
      <c r="E284" s="6">
        <v>1</v>
      </c>
    </row>
    <row r="285" spans="1:5" x14ac:dyDescent="0.3">
      <c r="A285" s="1" t="s">
        <v>1424</v>
      </c>
      <c r="B285" s="4">
        <v>62393.98</v>
      </c>
      <c r="C285" s="5">
        <v>19</v>
      </c>
      <c r="D285" s="6">
        <v>1</v>
      </c>
      <c r="E285" s="6" t="s">
        <v>1414</v>
      </c>
    </row>
    <row r="286" spans="1:5" x14ac:dyDescent="0.3">
      <c r="A286" s="1" t="s">
        <v>22</v>
      </c>
      <c r="B286" s="4">
        <v>81070.5</v>
      </c>
      <c r="C286" s="5">
        <v>17</v>
      </c>
      <c r="D286" s="6">
        <v>1</v>
      </c>
      <c r="E286" s="6">
        <v>1</v>
      </c>
    </row>
    <row r="287" spans="1:5" x14ac:dyDescent="0.3">
      <c r="A287" s="1" t="s">
        <v>832</v>
      </c>
      <c r="B287" s="4">
        <v>-149267.51</v>
      </c>
      <c r="C287" s="5">
        <v>0</v>
      </c>
      <c r="D287" s="6">
        <v>0.974136</v>
      </c>
      <c r="E287" s="6">
        <v>0.52038799999999996</v>
      </c>
    </row>
    <row r="288" spans="1:5" x14ac:dyDescent="0.3">
      <c r="A288" s="1" t="s">
        <v>1669</v>
      </c>
      <c r="B288" s="4">
        <v>12198.94</v>
      </c>
      <c r="C288" s="5">
        <v>10</v>
      </c>
      <c r="D288" s="6">
        <v>0.99948800000000004</v>
      </c>
      <c r="E288" s="6">
        <v>0</v>
      </c>
    </row>
    <row r="289" spans="1:5" x14ac:dyDescent="0.3">
      <c r="A289" s="1" t="s">
        <v>1925</v>
      </c>
      <c r="B289" s="4">
        <v>41116.5</v>
      </c>
      <c r="C289" s="5">
        <v>14</v>
      </c>
      <c r="D289" s="6">
        <v>1</v>
      </c>
      <c r="E289" s="6" t="s">
        <v>1414</v>
      </c>
    </row>
    <row r="290" spans="1:5" x14ac:dyDescent="0.3">
      <c r="A290" s="1" t="s">
        <v>1425</v>
      </c>
      <c r="B290" s="4">
        <v>5987.06</v>
      </c>
      <c r="C290" s="5">
        <v>17</v>
      </c>
      <c r="D290" s="6">
        <v>1</v>
      </c>
      <c r="E290" s="6">
        <v>0.37931199999999998</v>
      </c>
    </row>
    <row r="291" spans="1:5" x14ac:dyDescent="0.3">
      <c r="A291" s="1" t="s">
        <v>1426</v>
      </c>
      <c r="B291" s="4">
        <v>262318.46000000002</v>
      </c>
      <c r="C291" s="5">
        <v>15</v>
      </c>
      <c r="D291" s="6">
        <v>1</v>
      </c>
      <c r="E291" s="6" t="s">
        <v>1414</v>
      </c>
    </row>
    <row r="292" spans="1:5" x14ac:dyDescent="0.3">
      <c r="A292" s="1" t="s">
        <v>2027</v>
      </c>
      <c r="B292" s="4">
        <v>34750.550000000003</v>
      </c>
      <c r="C292" s="5">
        <v>5</v>
      </c>
      <c r="D292" s="6">
        <v>1</v>
      </c>
      <c r="E292" s="6" t="s">
        <v>1414</v>
      </c>
    </row>
    <row r="293" spans="1:5" x14ac:dyDescent="0.3">
      <c r="A293" s="1" t="s">
        <v>2028</v>
      </c>
      <c r="B293" s="4">
        <v>53949.85</v>
      </c>
      <c r="C293" s="5">
        <v>62</v>
      </c>
      <c r="D293" s="6" t="s">
        <v>1414</v>
      </c>
      <c r="E293" s="6" t="s">
        <v>1414</v>
      </c>
    </row>
    <row r="294" spans="1:5" x14ac:dyDescent="0.3">
      <c r="A294" s="1" t="s">
        <v>546</v>
      </c>
      <c r="B294" s="4">
        <v>33067.800000000003</v>
      </c>
      <c r="C294" s="5">
        <v>20</v>
      </c>
      <c r="D294" s="6">
        <v>0.99551599999999996</v>
      </c>
      <c r="E294" s="6">
        <v>0.90947</v>
      </c>
    </row>
    <row r="295" spans="1:5" x14ac:dyDescent="0.3">
      <c r="A295" s="1" t="s">
        <v>86</v>
      </c>
      <c r="B295" s="4">
        <v>-34852.589999999997</v>
      </c>
      <c r="C295" s="5">
        <v>64</v>
      </c>
      <c r="D295" s="6">
        <v>1</v>
      </c>
      <c r="E295" s="6">
        <v>0.19129699999999999</v>
      </c>
    </row>
    <row r="296" spans="1:5" x14ac:dyDescent="0.3">
      <c r="A296" s="1" t="s">
        <v>163</v>
      </c>
      <c r="B296" s="4">
        <v>67211.61</v>
      </c>
      <c r="C296" s="5">
        <v>105</v>
      </c>
      <c r="D296" s="6">
        <v>0.96581700000000004</v>
      </c>
      <c r="E296" s="6">
        <v>0.84938400000000003</v>
      </c>
    </row>
    <row r="297" spans="1:5" x14ac:dyDescent="0.3">
      <c r="A297" s="1" t="s">
        <v>1427</v>
      </c>
      <c r="B297" s="4">
        <v>-42525.03</v>
      </c>
      <c r="C297" s="5">
        <v>46</v>
      </c>
      <c r="D297" s="6">
        <v>0.95953200000000005</v>
      </c>
      <c r="E297" s="6">
        <v>0.20990700000000001</v>
      </c>
    </row>
    <row r="298" spans="1:5" x14ac:dyDescent="0.3">
      <c r="A298" s="1" t="s">
        <v>988</v>
      </c>
      <c r="B298" s="4">
        <v>33283.4</v>
      </c>
      <c r="C298" s="5">
        <v>24</v>
      </c>
      <c r="D298" s="6">
        <v>0.99981900000000001</v>
      </c>
      <c r="E298" s="6">
        <v>0.82607200000000003</v>
      </c>
    </row>
    <row r="299" spans="1:5" x14ac:dyDescent="0.3">
      <c r="A299" s="1" t="s">
        <v>917</v>
      </c>
      <c r="B299" s="4">
        <v>-82409.73</v>
      </c>
      <c r="C299" s="5">
        <v>13</v>
      </c>
      <c r="D299" s="6">
        <v>0.97877899999999995</v>
      </c>
      <c r="E299" s="6">
        <v>0.79898400000000003</v>
      </c>
    </row>
    <row r="300" spans="1:5" x14ac:dyDescent="0.3">
      <c r="A300" s="1" t="s">
        <v>2029</v>
      </c>
      <c r="B300" s="4">
        <v>45019.22</v>
      </c>
      <c r="C300" s="5">
        <v>16</v>
      </c>
      <c r="D300" s="6" t="s">
        <v>1414</v>
      </c>
      <c r="E300" s="6" t="s">
        <v>1414</v>
      </c>
    </row>
    <row r="301" spans="1:5" x14ac:dyDescent="0.3">
      <c r="A301" s="1" t="s">
        <v>1135</v>
      </c>
      <c r="B301" s="4">
        <v>89050.95</v>
      </c>
      <c r="C301" s="5">
        <v>21</v>
      </c>
      <c r="D301" s="6">
        <v>1</v>
      </c>
      <c r="E301" s="6" t="s">
        <v>1414</v>
      </c>
    </row>
    <row r="302" spans="1:5" x14ac:dyDescent="0.3">
      <c r="A302" s="1" t="s">
        <v>687</v>
      </c>
      <c r="B302" s="4">
        <v>69359.289999999994</v>
      </c>
      <c r="C302" s="5">
        <v>31</v>
      </c>
      <c r="D302" s="6">
        <v>1</v>
      </c>
      <c r="E302" s="6">
        <v>0.51651400000000003</v>
      </c>
    </row>
    <row r="303" spans="1:5" x14ac:dyDescent="0.3">
      <c r="A303" s="1" t="s">
        <v>1136</v>
      </c>
      <c r="B303" s="4">
        <v>-27807.56</v>
      </c>
      <c r="C303" s="5">
        <v>19</v>
      </c>
      <c r="D303" s="6">
        <v>1</v>
      </c>
      <c r="E303" s="6">
        <v>0.97715399999999997</v>
      </c>
    </row>
    <row r="304" spans="1:5" x14ac:dyDescent="0.3">
      <c r="A304" s="1" t="s">
        <v>833</v>
      </c>
      <c r="B304" s="4">
        <v>-151762.21</v>
      </c>
      <c r="C304" s="5">
        <v>19</v>
      </c>
      <c r="D304" s="6">
        <v>0.99502500000000005</v>
      </c>
      <c r="E304" s="6">
        <v>0.19341</v>
      </c>
    </row>
    <row r="305" spans="1:5" x14ac:dyDescent="0.3">
      <c r="A305" s="1" t="s">
        <v>2030</v>
      </c>
      <c r="B305" s="4">
        <v>52813.62</v>
      </c>
      <c r="C305" s="5">
        <v>9</v>
      </c>
      <c r="D305" s="6">
        <v>0.99619800000000003</v>
      </c>
      <c r="E305" s="6">
        <v>1</v>
      </c>
    </row>
    <row r="306" spans="1:5" x14ac:dyDescent="0.3">
      <c r="A306" s="1" t="s">
        <v>1067</v>
      </c>
      <c r="B306" s="4">
        <v>55784.06</v>
      </c>
      <c r="C306" s="5">
        <v>20</v>
      </c>
      <c r="D306" s="6">
        <v>0.99541800000000003</v>
      </c>
      <c r="E306" s="6">
        <v>0.83435899999999996</v>
      </c>
    </row>
    <row r="307" spans="1:5" x14ac:dyDescent="0.3">
      <c r="A307" s="1" t="s">
        <v>1428</v>
      </c>
      <c r="B307" s="4">
        <v>71507.320000000007</v>
      </c>
      <c r="C307" s="5">
        <v>19</v>
      </c>
      <c r="D307" s="6">
        <v>1</v>
      </c>
      <c r="E307" s="6" t="s">
        <v>1414</v>
      </c>
    </row>
    <row r="308" spans="1:5" x14ac:dyDescent="0.3">
      <c r="A308" s="1" t="s">
        <v>1670</v>
      </c>
      <c r="B308" s="4">
        <v>363245.23</v>
      </c>
      <c r="C308" s="5">
        <v>20</v>
      </c>
      <c r="D308" s="6">
        <v>0.99858400000000003</v>
      </c>
      <c r="E308" s="6">
        <v>1</v>
      </c>
    </row>
    <row r="309" spans="1:5" x14ac:dyDescent="0.3">
      <c r="A309" s="1" t="s">
        <v>1429</v>
      </c>
      <c r="B309" s="4">
        <v>-2740.23</v>
      </c>
      <c r="C309" s="5">
        <v>42</v>
      </c>
      <c r="D309" s="6">
        <v>0.965387</v>
      </c>
      <c r="E309" s="6">
        <v>0.22175700000000001</v>
      </c>
    </row>
    <row r="310" spans="1:5" x14ac:dyDescent="0.3">
      <c r="A310" s="1" t="s">
        <v>164</v>
      </c>
      <c r="B310" s="4">
        <v>92727.58</v>
      </c>
      <c r="C310" s="5">
        <v>20</v>
      </c>
      <c r="D310" s="6">
        <v>1</v>
      </c>
      <c r="E310" s="6">
        <v>1</v>
      </c>
    </row>
    <row r="311" spans="1:5" x14ac:dyDescent="0.3">
      <c r="A311" s="1" t="s">
        <v>1671</v>
      </c>
      <c r="B311" s="4">
        <v>5920.47</v>
      </c>
      <c r="C311" s="5">
        <v>41</v>
      </c>
      <c r="D311" s="6">
        <v>0.98705699999999996</v>
      </c>
      <c r="E311" s="6">
        <v>1</v>
      </c>
    </row>
    <row r="312" spans="1:5" x14ac:dyDescent="0.3">
      <c r="A312" s="1" t="s">
        <v>87</v>
      </c>
      <c r="B312" s="4">
        <v>184654.77</v>
      </c>
      <c r="C312" s="5">
        <v>24</v>
      </c>
      <c r="D312" s="6">
        <v>0.99350700000000003</v>
      </c>
      <c r="E312" s="6">
        <v>1</v>
      </c>
    </row>
    <row r="313" spans="1:5" x14ac:dyDescent="0.3">
      <c r="A313" s="1" t="s">
        <v>918</v>
      </c>
      <c r="B313" s="4">
        <v>-97399.13</v>
      </c>
      <c r="C313" s="5">
        <v>72</v>
      </c>
      <c r="D313" s="6">
        <v>0.98469399999999996</v>
      </c>
      <c r="E313" s="6">
        <v>0.317556</v>
      </c>
    </row>
    <row r="314" spans="1:5" x14ac:dyDescent="0.3">
      <c r="A314" s="1" t="s">
        <v>688</v>
      </c>
      <c r="B314" s="4">
        <v>32573.07</v>
      </c>
      <c r="C314" s="5">
        <v>14</v>
      </c>
      <c r="D314" s="6">
        <v>0.96831800000000001</v>
      </c>
      <c r="E314" s="6">
        <v>0.77376800000000001</v>
      </c>
    </row>
    <row r="315" spans="1:5" x14ac:dyDescent="0.3">
      <c r="A315" s="1" t="s">
        <v>2031</v>
      </c>
      <c r="B315" s="4">
        <v>50840.11</v>
      </c>
      <c r="C315" s="5">
        <v>11</v>
      </c>
      <c r="D315" s="6">
        <v>1</v>
      </c>
      <c r="E315" s="6" t="s">
        <v>1414</v>
      </c>
    </row>
    <row r="316" spans="1:5" x14ac:dyDescent="0.3">
      <c r="A316" s="1" t="s">
        <v>316</v>
      </c>
      <c r="B316" s="4">
        <v>31069.9</v>
      </c>
      <c r="C316" s="5">
        <v>16</v>
      </c>
      <c r="D316" s="6">
        <v>0.99933300000000003</v>
      </c>
      <c r="E316" s="6">
        <v>1</v>
      </c>
    </row>
    <row r="317" spans="1:5" x14ac:dyDescent="0.3">
      <c r="A317" s="1" t="s">
        <v>689</v>
      </c>
      <c r="B317" s="4">
        <v>24439.94</v>
      </c>
      <c r="C317" s="5">
        <v>18</v>
      </c>
      <c r="D317" s="6">
        <v>1</v>
      </c>
      <c r="E317" s="6">
        <v>1</v>
      </c>
    </row>
    <row r="318" spans="1:5" x14ac:dyDescent="0.3">
      <c r="A318" s="1" t="s">
        <v>547</v>
      </c>
      <c r="B318" s="4">
        <v>116162.34</v>
      </c>
      <c r="C318" s="5">
        <v>15</v>
      </c>
      <c r="D318" s="6">
        <v>1</v>
      </c>
      <c r="E318" s="6">
        <v>1</v>
      </c>
    </row>
    <row r="319" spans="1:5" x14ac:dyDescent="0.3">
      <c r="A319" s="1" t="s">
        <v>165</v>
      </c>
      <c r="B319" s="4">
        <v>39226.68</v>
      </c>
      <c r="C319" s="5">
        <v>19</v>
      </c>
      <c r="D319" s="6">
        <v>0.99823700000000004</v>
      </c>
      <c r="E319" s="6">
        <v>1</v>
      </c>
    </row>
    <row r="320" spans="1:5" x14ac:dyDescent="0.3">
      <c r="A320" s="1" t="s">
        <v>1137</v>
      </c>
      <c r="B320" s="4">
        <v>71311.039999999994</v>
      </c>
      <c r="C320" s="5">
        <v>20</v>
      </c>
      <c r="D320" s="6">
        <v>0.99578</v>
      </c>
      <c r="E320" s="6">
        <v>0.26838600000000001</v>
      </c>
    </row>
    <row r="321" spans="1:5" x14ac:dyDescent="0.3">
      <c r="A321" s="1" t="s">
        <v>1138</v>
      </c>
      <c r="B321" s="4">
        <v>105002.1</v>
      </c>
      <c r="C321" s="5">
        <v>18</v>
      </c>
      <c r="D321" s="6">
        <v>0.99952200000000002</v>
      </c>
      <c r="E321" s="6">
        <v>1</v>
      </c>
    </row>
    <row r="322" spans="1:5" x14ac:dyDescent="0.3">
      <c r="A322" s="1" t="s">
        <v>1068</v>
      </c>
      <c r="B322" s="4">
        <v>156942.14000000001</v>
      </c>
      <c r="C322" s="5">
        <v>19</v>
      </c>
      <c r="D322" s="6">
        <v>1</v>
      </c>
      <c r="E322" s="6">
        <v>1</v>
      </c>
    </row>
    <row r="323" spans="1:5" x14ac:dyDescent="0.3">
      <c r="A323" s="1" t="s">
        <v>1139</v>
      </c>
      <c r="B323" s="4">
        <v>45627.38</v>
      </c>
      <c r="C323" s="5">
        <v>20</v>
      </c>
      <c r="D323" s="6">
        <v>0.99290999999999996</v>
      </c>
      <c r="E323" s="6">
        <v>0.96797900000000003</v>
      </c>
    </row>
    <row r="324" spans="1:5" x14ac:dyDescent="0.3">
      <c r="A324" s="1" t="s">
        <v>88</v>
      </c>
      <c r="B324" s="4">
        <v>-570944.56000000006</v>
      </c>
      <c r="C324" s="5">
        <v>0</v>
      </c>
      <c r="D324" s="6">
        <v>0.99786799999999998</v>
      </c>
      <c r="E324" s="6">
        <v>0.98444900000000002</v>
      </c>
    </row>
    <row r="325" spans="1:5" x14ac:dyDescent="0.3">
      <c r="A325" s="1" t="s">
        <v>166</v>
      </c>
      <c r="B325" s="4">
        <v>43425.19</v>
      </c>
      <c r="C325" s="5">
        <v>28</v>
      </c>
      <c r="D325" s="6">
        <v>0.99536899999999995</v>
      </c>
      <c r="E325" s="6">
        <v>0.94333500000000003</v>
      </c>
    </row>
    <row r="326" spans="1:5" x14ac:dyDescent="0.3">
      <c r="A326" s="1" t="s">
        <v>1430</v>
      </c>
      <c r="B326" s="4">
        <v>17610.21</v>
      </c>
      <c r="C326" s="5">
        <v>17</v>
      </c>
      <c r="D326" s="6">
        <v>1</v>
      </c>
      <c r="E326" s="6">
        <v>1</v>
      </c>
    </row>
    <row r="327" spans="1:5" x14ac:dyDescent="0.3">
      <c r="A327" s="1" t="s">
        <v>1431</v>
      </c>
      <c r="B327" s="4">
        <v>48344.28</v>
      </c>
      <c r="C327" s="5">
        <v>78</v>
      </c>
      <c r="D327" s="6">
        <v>0.94934799999999997</v>
      </c>
      <c r="E327" s="6">
        <v>0.86755899999999997</v>
      </c>
    </row>
    <row r="328" spans="1:5" x14ac:dyDescent="0.3">
      <c r="A328" s="1" t="s">
        <v>1432</v>
      </c>
      <c r="B328" s="4">
        <v>45015.18</v>
      </c>
      <c r="C328" s="5">
        <v>90</v>
      </c>
      <c r="D328" s="6">
        <v>0.98459099999999999</v>
      </c>
      <c r="E328" s="6">
        <v>0.339532</v>
      </c>
    </row>
    <row r="329" spans="1:5" x14ac:dyDescent="0.3">
      <c r="A329" s="1" t="s">
        <v>1433</v>
      </c>
      <c r="B329" s="4">
        <v>221501.33</v>
      </c>
      <c r="C329" s="5">
        <v>13</v>
      </c>
      <c r="D329" s="6">
        <v>0.99418799999999996</v>
      </c>
      <c r="E329" s="6">
        <v>1</v>
      </c>
    </row>
    <row r="330" spans="1:5" x14ac:dyDescent="0.3">
      <c r="A330" s="1" t="s">
        <v>317</v>
      </c>
      <c r="B330" s="4">
        <v>54637.19</v>
      </c>
      <c r="C330" s="5">
        <v>32</v>
      </c>
      <c r="D330" s="6">
        <v>0.99457499999999999</v>
      </c>
      <c r="E330" s="6">
        <v>0.85907800000000001</v>
      </c>
    </row>
    <row r="331" spans="1:5" x14ac:dyDescent="0.3">
      <c r="A331" s="1" t="s">
        <v>834</v>
      </c>
      <c r="B331" s="4">
        <v>-152518.97</v>
      </c>
      <c r="C331" s="5">
        <v>8</v>
      </c>
      <c r="D331" s="6">
        <v>0.98741699999999999</v>
      </c>
      <c r="E331" s="6">
        <v>0.52897099999999997</v>
      </c>
    </row>
    <row r="332" spans="1:5" x14ac:dyDescent="0.3">
      <c r="A332" s="1" t="s">
        <v>2032</v>
      </c>
      <c r="B332" s="4">
        <v>0</v>
      </c>
      <c r="C332" s="5">
        <v>0</v>
      </c>
      <c r="D332" s="6" t="s">
        <v>1414</v>
      </c>
      <c r="E332" s="6" t="s">
        <v>1414</v>
      </c>
    </row>
    <row r="333" spans="1:5" x14ac:dyDescent="0.3">
      <c r="A333" s="1" t="s">
        <v>1926</v>
      </c>
      <c r="B333" s="4">
        <v>-22579.61</v>
      </c>
      <c r="C333" s="5">
        <v>10</v>
      </c>
      <c r="D333" s="6">
        <v>0.98905100000000001</v>
      </c>
      <c r="E333" s="6" t="s">
        <v>1414</v>
      </c>
    </row>
    <row r="334" spans="1:5" x14ac:dyDescent="0.3">
      <c r="A334" s="1" t="s">
        <v>464</v>
      </c>
      <c r="B334" s="4">
        <v>25890.67</v>
      </c>
      <c r="C334" s="5">
        <v>22</v>
      </c>
      <c r="D334" s="6">
        <v>0.94065500000000002</v>
      </c>
      <c r="E334" s="6">
        <v>0.92403999999999997</v>
      </c>
    </row>
    <row r="335" spans="1:5" x14ac:dyDescent="0.3">
      <c r="A335" s="1" t="s">
        <v>1434</v>
      </c>
      <c r="B335" s="4">
        <v>64736.57</v>
      </c>
      <c r="C335" s="5">
        <v>21</v>
      </c>
      <c r="D335" s="6">
        <v>1</v>
      </c>
      <c r="E335" s="6">
        <v>1</v>
      </c>
    </row>
    <row r="336" spans="1:5" x14ac:dyDescent="0.3">
      <c r="A336" s="1" t="s">
        <v>167</v>
      </c>
      <c r="B336" s="4">
        <v>37191.24</v>
      </c>
      <c r="C336" s="5">
        <v>23</v>
      </c>
      <c r="D336" s="6">
        <v>0.99928399999999995</v>
      </c>
      <c r="E336" s="6">
        <v>1</v>
      </c>
    </row>
    <row r="337" spans="1:5" x14ac:dyDescent="0.3">
      <c r="A337" s="1" t="s">
        <v>318</v>
      </c>
      <c r="B337" s="4">
        <v>-164826.89000000001</v>
      </c>
      <c r="C337" s="5">
        <v>8</v>
      </c>
      <c r="D337" s="6">
        <v>0.986344</v>
      </c>
      <c r="E337" s="6">
        <v>0</v>
      </c>
    </row>
    <row r="338" spans="1:5" x14ac:dyDescent="0.3">
      <c r="A338" s="1" t="s">
        <v>2033</v>
      </c>
      <c r="B338" s="4">
        <v>170920.52</v>
      </c>
      <c r="C338" s="5">
        <v>11</v>
      </c>
      <c r="D338" s="6">
        <v>1</v>
      </c>
      <c r="E338" s="6" t="s">
        <v>1414</v>
      </c>
    </row>
    <row r="339" spans="1:5" x14ac:dyDescent="0.3">
      <c r="A339" s="1" t="s">
        <v>1672</v>
      </c>
      <c r="B339" s="4">
        <v>78813.409999999902</v>
      </c>
      <c r="C339" s="5">
        <v>18</v>
      </c>
      <c r="D339" s="6">
        <v>0.95346200000000003</v>
      </c>
      <c r="E339" s="6">
        <v>0.80220199999999997</v>
      </c>
    </row>
    <row r="340" spans="1:5" x14ac:dyDescent="0.3">
      <c r="A340" s="1" t="s">
        <v>690</v>
      </c>
      <c r="B340" s="4">
        <v>-107566.58</v>
      </c>
      <c r="C340" s="5">
        <v>20</v>
      </c>
      <c r="D340" s="6">
        <v>0.97975400000000001</v>
      </c>
      <c r="E340" s="6">
        <v>0.37027199999999999</v>
      </c>
    </row>
    <row r="341" spans="1:5" x14ac:dyDescent="0.3">
      <c r="A341" s="1" t="s">
        <v>691</v>
      </c>
      <c r="B341" s="4">
        <v>44600.43</v>
      </c>
      <c r="C341" s="5">
        <v>7</v>
      </c>
      <c r="D341" s="6">
        <v>0.996305</v>
      </c>
      <c r="E341" s="6">
        <v>1</v>
      </c>
    </row>
    <row r="342" spans="1:5" x14ac:dyDescent="0.3">
      <c r="A342" s="1" t="s">
        <v>548</v>
      </c>
      <c r="B342" s="4">
        <v>65096.29</v>
      </c>
      <c r="C342" s="5">
        <v>16</v>
      </c>
      <c r="D342" s="6">
        <v>0.99057499999999998</v>
      </c>
      <c r="E342" s="6">
        <v>1</v>
      </c>
    </row>
    <row r="343" spans="1:5" x14ac:dyDescent="0.3">
      <c r="A343" s="1" t="s">
        <v>1673</v>
      </c>
      <c r="B343" s="4">
        <v>-940.14</v>
      </c>
      <c r="C343" s="5">
        <v>0</v>
      </c>
      <c r="D343" s="6">
        <v>1</v>
      </c>
      <c r="E343" s="6" t="s">
        <v>1414</v>
      </c>
    </row>
    <row r="344" spans="1:5" x14ac:dyDescent="0.3">
      <c r="A344" s="1" t="s">
        <v>1435</v>
      </c>
      <c r="B344" s="4">
        <v>-1563.81</v>
      </c>
      <c r="C344" s="5">
        <v>17</v>
      </c>
      <c r="D344" s="6">
        <v>0.99718399999999996</v>
      </c>
      <c r="E344" s="6">
        <v>0.208865</v>
      </c>
    </row>
    <row r="345" spans="1:5" x14ac:dyDescent="0.3">
      <c r="A345" s="1" t="s">
        <v>1927</v>
      </c>
      <c r="B345" s="4">
        <v>10854.72</v>
      </c>
      <c r="C345" s="5">
        <v>30</v>
      </c>
      <c r="D345" s="6">
        <v>0.95208700000000002</v>
      </c>
      <c r="E345" s="6" t="s">
        <v>1414</v>
      </c>
    </row>
    <row r="346" spans="1:5" x14ac:dyDescent="0.3">
      <c r="A346" s="1" t="s">
        <v>1069</v>
      </c>
      <c r="B346" s="4">
        <v>140081.74</v>
      </c>
      <c r="C346" s="5">
        <v>28</v>
      </c>
      <c r="D346" s="6">
        <v>0.99591200000000002</v>
      </c>
      <c r="E346" s="6">
        <v>0</v>
      </c>
    </row>
    <row r="347" spans="1:5" x14ac:dyDescent="0.3">
      <c r="A347" s="1" t="s">
        <v>2034</v>
      </c>
      <c r="B347" s="4">
        <v>9193.14</v>
      </c>
      <c r="C347" s="5">
        <v>9</v>
      </c>
      <c r="D347" s="6" t="s">
        <v>1414</v>
      </c>
      <c r="E347" s="6" t="s">
        <v>1414</v>
      </c>
    </row>
    <row r="348" spans="1:5" x14ac:dyDescent="0.3">
      <c r="A348" s="1" t="s">
        <v>1436</v>
      </c>
      <c r="B348" s="4">
        <v>-34972.68</v>
      </c>
      <c r="C348" s="5">
        <v>16</v>
      </c>
      <c r="D348" s="6">
        <v>0.99639900000000003</v>
      </c>
      <c r="E348" s="6" t="s">
        <v>1414</v>
      </c>
    </row>
    <row r="349" spans="1:5" x14ac:dyDescent="0.3">
      <c r="A349" s="1" t="s">
        <v>613</v>
      </c>
      <c r="B349" s="4">
        <v>39374.57</v>
      </c>
      <c r="C349" s="5">
        <v>19</v>
      </c>
      <c r="D349" s="6">
        <v>0.97827200000000003</v>
      </c>
      <c r="E349" s="6">
        <v>0.11775099999999999</v>
      </c>
    </row>
    <row r="350" spans="1:5" x14ac:dyDescent="0.3">
      <c r="A350" s="1" t="s">
        <v>1437</v>
      </c>
      <c r="B350" s="4">
        <v>-5515.56</v>
      </c>
      <c r="C350" s="5">
        <v>2</v>
      </c>
      <c r="D350" s="6">
        <v>0.47886699999999999</v>
      </c>
      <c r="E350" s="6">
        <v>1</v>
      </c>
    </row>
    <row r="351" spans="1:5" x14ac:dyDescent="0.3">
      <c r="A351" s="1" t="s">
        <v>89</v>
      </c>
      <c r="B351" s="4">
        <v>140816.97</v>
      </c>
      <c r="C351" s="5">
        <v>14</v>
      </c>
      <c r="D351" s="6">
        <v>0.99206799999999995</v>
      </c>
      <c r="E351" s="6">
        <v>0.46702199999999999</v>
      </c>
    </row>
    <row r="352" spans="1:5" x14ac:dyDescent="0.3">
      <c r="A352" s="1" t="s">
        <v>2035</v>
      </c>
      <c r="B352" s="4">
        <v>19800</v>
      </c>
      <c r="C352" s="5">
        <v>20</v>
      </c>
      <c r="D352" s="6" t="s">
        <v>1414</v>
      </c>
      <c r="E352" s="6" t="s">
        <v>1414</v>
      </c>
    </row>
    <row r="353" spans="1:5" x14ac:dyDescent="0.3">
      <c r="A353" s="1" t="s">
        <v>396</v>
      </c>
      <c r="B353" s="4">
        <v>48811.14</v>
      </c>
      <c r="C353" s="5">
        <v>21</v>
      </c>
      <c r="D353" s="6">
        <v>0.85035799999999995</v>
      </c>
      <c r="E353" s="6">
        <v>0.140765</v>
      </c>
    </row>
    <row r="354" spans="1:5" x14ac:dyDescent="0.3">
      <c r="A354" s="1" t="s">
        <v>238</v>
      </c>
      <c r="B354" s="4">
        <v>-101488.24</v>
      </c>
      <c r="C354" s="5">
        <v>3</v>
      </c>
      <c r="D354" s="6">
        <v>0.98565400000000003</v>
      </c>
      <c r="E354" s="6">
        <v>0.26950099999999999</v>
      </c>
    </row>
    <row r="355" spans="1:5" x14ac:dyDescent="0.3">
      <c r="A355" s="1" t="s">
        <v>1674</v>
      </c>
      <c r="B355" s="4">
        <v>39172.86</v>
      </c>
      <c r="C355" s="5">
        <v>16</v>
      </c>
      <c r="D355" s="6">
        <v>1</v>
      </c>
      <c r="E355" s="6" t="s">
        <v>1414</v>
      </c>
    </row>
    <row r="356" spans="1:5" x14ac:dyDescent="0.3">
      <c r="A356" s="1" t="s">
        <v>1675</v>
      </c>
      <c r="B356" s="4">
        <v>-5055.82</v>
      </c>
      <c r="C356" s="5">
        <v>30</v>
      </c>
      <c r="D356" s="6">
        <v>1</v>
      </c>
      <c r="E356" s="6" t="s">
        <v>1414</v>
      </c>
    </row>
    <row r="357" spans="1:5" x14ac:dyDescent="0.3">
      <c r="A357" s="1" t="s">
        <v>168</v>
      </c>
      <c r="B357" s="4">
        <v>263537.56</v>
      </c>
      <c r="C357" s="5">
        <v>21</v>
      </c>
      <c r="D357" s="6">
        <v>1</v>
      </c>
      <c r="E357" s="6">
        <v>1</v>
      </c>
    </row>
    <row r="358" spans="1:5" x14ac:dyDescent="0.3">
      <c r="A358" s="1" t="s">
        <v>835</v>
      </c>
      <c r="B358" s="4">
        <v>-160941.99</v>
      </c>
      <c r="C358" s="5">
        <v>18</v>
      </c>
      <c r="D358" s="6">
        <v>0.98380900000000004</v>
      </c>
      <c r="E358" s="6">
        <v>0.99091300000000004</v>
      </c>
    </row>
    <row r="359" spans="1:5" x14ac:dyDescent="0.3">
      <c r="A359" s="1" t="s">
        <v>753</v>
      </c>
      <c r="B359" s="4">
        <v>183765.58</v>
      </c>
      <c r="C359" s="5">
        <v>25</v>
      </c>
      <c r="D359" s="6">
        <v>0.99548499999999995</v>
      </c>
      <c r="E359" s="6">
        <v>1</v>
      </c>
    </row>
    <row r="360" spans="1:5" x14ac:dyDescent="0.3">
      <c r="A360" s="1" t="s">
        <v>1070</v>
      </c>
      <c r="B360" s="4">
        <v>52538.19</v>
      </c>
      <c r="C360" s="5">
        <v>24</v>
      </c>
      <c r="D360" s="6">
        <v>0.99885999999999997</v>
      </c>
      <c r="E360" s="6">
        <v>0.95988399999999996</v>
      </c>
    </row>
    <row r="361" spans="1:5" x14ac:dyDescent="0.3">
      <c r="A361" s="1" t="s">
        <v>1676</v>
      </c>
      <c r="B361" s="4">
        <v>-13910.05</v>
      </c>
      <c r="C361" s="5">
        <v>12</v>
      </c>
      <c r="D361" s="6">
        <v>0.95238</v>
      </c>
      <c r="E361" s="6" t="s">
        <v>1414</v>
      </c>
    </row>
    <row r="362" spans="1:5" x14ac:dyDescent="0.3">
      <c r="A362" s="1" t="s">
        <v>2036</v>
      </c>
      <c r="B362" s="4">
        <v>29174</v>
      </c>
      <c r="C362" s="5">
        <v>8</v>
      </c>
      <c r="D362" s="6" t="s">
        <v>1414</v>
      </c>
      <c r="E362" s="6" t="s">
        <v>1414</v>
      </c>
    </row>
    <row r="363" spans="1:5" x14ac:dyDescent="0.3">
      <c r="A363" s="1" t="s">
        <v>989</v>
      </c>
      <c r="B363" s="4">
        <v>21523.200000000001</v>
      </c>
      <c r="C363" s="5">
        <v>20</v>
      </c>
      <c r="D363" s="6">
        <v>0.99580100000000005</v>
      </c>
      <c r="E363" s="6">
        <v>0.74665999999999999</v>
      </c>
    </row>
    <row r="364" spans="1:5" x14ac:dyDescent="0.3">
      <c r="A364" s="1" t="s">
        <v>90</v>
      </c>
      <c r="B364" s="4">
        <v>33388.730000000003</v>
      </c>
      <c r="C364" s="5">
        <v>14</v>
      </c>
      <c r="D364" s="6">
        <v>0.98087100000000005</v>
      </c>
      <c r="E364" s="6">
        <v>1</v>
      </c>
    </row>
    <row r="365" spans="1:5" x14ac:dyDescent="0.3">
      <c r="A365" s="1" t="s">
        <v>23</v>
      </c>
      <c r="B365" s="4">
        <v>-232204.1</v>
      </c>
      <c r="C365" s="5">
        <v>17</v>
      </c>
      <c r="D365" s="6">
        <v>0.99697499999999994</v>
      </c>
      <c r="E365" s="6">
        <v>0.58818800000000004</v>
      </c>
    </row>
    <row r="366" spans="1:5" x14ac:dyDescent="0.3">
      <c r="A366" s="1" t="s">
        <v>919</v>
      </c>
      <c r="B366" s="4">
        <v>87551.91</v>
      </c>
      <c r="C366" s="5">
        <v>29</v>
      </c>
      <c r="D366" s="6">
        <v>0.98585999999999996</v>
      </c>
      <c r="E366" s="6">
        <v>1</v>
      </c>
    </row>
    <row r="367" spans="1:5" x14ac:dyDescent="0.3">
      <c r="A367" s="1" t="s">
        <v>2037</v>
      </c>
      <c r="B367" s="4">
        <v>57634</v>
      </c>
      <c r="C367" s="5">
        <v>10</v>
      </c>
      <c r="D367" s="6" t="s">
        <v>1414</v>
      </c>
      <c r="E367" s="6" t="s">
        <v>1414</v>
      </c>
    </row>
    <row r="368" spans="1:5" x14ac:dyDescent="0.3">
      <c r="A368" s="1" t="s">
        <v>754</v>
      </c>
      <c r="B368" s="4">
        <v>83053.52</v>
      </c>
      <c r="C368" s="5">
        <v>22</v>
      </c>
      <c r="D368" s="6">
        <v>0.99779300000000004</v>
      </c>
      <c r="E368" s="6">
        <v>1</v>
      </c>
    </row>
    <row r="369" spans="1:5" x14ac:dyDescent="0.3">
      <c r="A369" s="1" t="s">
        <v>1438</v>
      </c>
      <c r="B369" s="4">
        <v>-75865.11</v>
      </c>
      <c r="C369" s="5">
        <v>0</v>
      </c>
      <c r="D369" s="6">
        <v>0.99105200000000004</v>
      </c>
      <c r="E369" s="6">
        <v>0.19903100000000001</v>
      </c>
    </row>
    <row r="370" spans="1:5" x14ac:dyDescent="0.3">
      <c r="A370" s="1" t="s">
        <v>1677</v>
      </c>
      <c r="B370" s="4">
        <v>-3842.77</v>
      </c>
      <c r="C370" s="5">
        <v>12</v>
      </c>
      <c r="D370" s="6">
        <v>0.98988200000000004</v>
      </c>
      <c r="E370" s="6">
        <v>1</v>
      </c>
    </row>
    <row r="371" spans="1:5" x14ac:dyDescent="0.3">
      <c r="A371" s="1" t="s">
        <v>990</v>
      </c>
      <c r="B371" s="4">
        <v>-16295.29</v>
      </c>
      <c r="C371" s="5">
        <v>43</v>
      </c>
      <c r="D371" s="6">
        <v>0.98474799999999996</v>
      </c>
      <c r="E371" s="6">
        <v>0.81279699999999999</v>
      </c>
    </row>
    <row r="372" spans="1:5" x14ac:dyDescent="0.3">
      <c r="A372" s="1" t="s">
        <v>755</v>
      </c>
      <c r="B372" s="4">
        <v>135558.28</v>
      </c>
      <c r="C372" s="5">
        <v>27</v>
      </c>
      <c r="D372" s="6">
        <v>0.99937900000000002</v>
      </c>
      <c r="E372" s="6">
        <v>1</v>
      </c>
    </row>
    <row r="373" spans="1:5" x14ac:dyDescent="0.3">
      <c r="A373" s="1" t="s">
        <v>24</v>
      </c>
      <c r="B373" s="4">
        <v>14671</v>
      </c>
      <c r="C373" s="5">
        <v>13</v>
      </c>
      <c r="D373" s="6">
        <v>0.99375199999999997</v>
      </c>
      <c r="E373" s="6">
        <v>0.89462699999999995</v>
      </c>
    </row>
    <row r="374" spans="1:5" x14ac:dyDescent="0.3">
      <c r="A374" s="1" t="s">
        <v>1439</v>
      </c>
      <c r="B374" s="4">
        <v>-41093.129999999997</v>
      </c>
      <c r="C374" s="5">
        <v>12</v>
      </c>
      <c r="D374" s="6">
        <v>0.96558200000000005</v>
      </c>
      <c r="E374" s="6">
        <v>0</v>
      </c>
    </row>
    <row r="375" spans="1:5" x14ac:dyDescent="0.3">
      <c r="A375" s="1" t="s">
        <v>1678</v>
      </c>
      <c r="B375" s="4">
        <v>13597.35</v>
      </c>
      <c r="C375" s="5">
        <v>11</v>
      </c>
      <c r="D375" s="6">
        <v>0.99749600000000005</v>
      </c>
      <c r="E375" s="6">
        <v>4.8999000000000001E-2</v>
      </c>
    </row>
    <row r="376" spans="1:5" x14ac:dyDescent="0.3">
      <c r="A376" s="1" t="s">
        <v>1440</v>
      </c>
      <c r="B376" s="4">
        <v>13773.27</v>
      </c>
      <c r="C376" s="5">
        <v>63</v>
      </c>
      <c r="D376" s="6">
        <v>0.956623</v>
      </c>
      <c r="E376" s="6">
        <v>0.46574399999999999</v>
      </c>
    </row>
    <row r="377" spans="1:5" x14ac:dyDescent="0.3">
      <c r="A377" s="1" t="s">
        <v>836</v>
      </c>
      <c r="B377" s="4">
        <v>151904.15</v>
      </c>
      <c r="C377" s="5">
        <v>32</v>
      </c>
      <c r="D377" s="6">
        <v>0.99582300000000001</v>
      </c>
      <c r="E377" s="6">
        <v>0.98881399999999997</v>
      </c>
    </row>
    <row r="378" spans="1:5" x14ac:dyDescent="0.3">
      <c r="A378" s="1" t="s">
        <v>1140</v>
      </c>
      <c r="B378" s="4">
        <v>6544.99</v>
      </c>
      <c r="C378" s="5">
        <v>19</v>
      </c>
      <c r="D378" s="6">
        <v>0.99770499999999995</v>
      </c>
      <c r="E378" s="6">
        <v>0.90302400000000005</v>
      </c>
    </row>
    <row r="379" spans="1:5" x14ac:dyDescent="0.3">
      <c r="A379" s="1" t="s">
        <v>169</v>
      </c>
      <c r="B379" s="4">
        <v>0</v>
      </c>
      <c r="C379" s="5">
        <v>0</v>
      </c>
      <c r="D379" s="6" t="s">
        <v>1414</v>
      </c>
      <c r="E379" s="6" t="s">
        <v>1414</v>
      </c>
    </row>
    <row r="380" spans="1:5" x14ac:dyDescent="0.3">
      <c r="A380" s="1" t="s">
        <v>756</v>
      </c>
      <c r="B380" s="4">
        <v>-222595.99</v>
      </c>
      <c r="C380" s="5">
        <v>14</v>
      </c>
      <c r="D380" s="6">
        <v>0.98776299999999995</v>
      </c>
      <c r="E380" s="6" t="s">
        <v>1414</v>
      </c>
    </row>
    <row r="381" spans="1:5" x14ac:dyDescent="0.3">
      <c r="A381" s="1" t="s">
        <v>1928</v>
      </c>
      <c r="B381" s="4">
        <v>-140825.75</v>
      </c>
      <c r="C381" s="5">
        <v>9</v>
      </c>
      <c r="D381" s="6">
        <v>0.94728000000000001</v>
      </c>
      <c r="E381" s="6">
        <v>0.87741400000000003</v>
      </c>
    </row>
    <row r="382" spans="1:5" x14ac:dyDescent="0.3">
      <c r="A382" s="1" t="s">
        <v>239</v>
      </c>
      <c r="B382" s="4">
        <v>-22918.61</v>
      </c>
      <c r="C382" s="5">
        <v>17</v>
      </c>
      <c r="D382" s="6">
        <v>0.99700900000000003</v>
      </c>
      <c r="E382" s="6" t="s">
        <v>1414</v>
      </c>
    </row>
    <row r="383" spans="1:5" x14ac:dyDescent="0.3">
      <c r="A383" s="1" t="s">
        <v>1679</v>
      </c>
      <c r="B383" s="4">
        <v>35180.910000000003</v>
      </c>
      <c r="C383" s="5">
        <v>12</v>
      </c>
      <c r="D383" s="6">
        <v>1</v>
      </c>
      <c r="E383" s="6">
        <v>1</v>
      </c>
    </row>
    <row r="384" spans="1:5" x14ac:dyDescent="0.3">
      <c r="A384" s="1" t="s">
        <v>2038</v>
      </c>
      <c r="B384" s="4">
        <v>87400</v>
      </c>
      <c r="C384" s="5">
        <v>12</v>
      </c>
      <c r="D384" s="6" t="s">
        <v>1414</v>
      </c>
      <c r="E384" s="6" t="s">
        <v>1414</v>
      </c>
    </row>
    <row r="385" spans="1:5" x14ac:dyDescent="0.3">
      <c r="A385" s="1" t="s">
        <v>692</v>
      </c>
      <c r="B385" s="4">
        <v>39997.480000000003</v>
      </c>
      <c r="C385" s="5">
        <v>20</v>
      </c>
      <c r="D385" s="6">
        <v>0.98863500000000004</v>
      </c>
      <c r="E385" s="6">
        <v>1</v>
      </c>
    </row>
    <row r="386" spans="1:5" x14ac:dyDescent="0.3">
      <c r="A386" s="1" t="s">
        <v>170</v>
      </c>
      <c r="B386" s="4">
        <v>210526.18</v>
      </c>
      <c r="C386" s="5">
        <v>39</v>
      </c>
      <c r="D386" s="6">
        <v>0.98938999999999999</v>
      </c>
      <c r="E386" s="6">
        <v>0.90922000000000003</v>
      </c>
    </row>
    <row r="387" spans="1:5" x14ac:dyDescent="0.3">
      <c r="A387" s="1" t="s">
        <v>2039</v>
      </c>
      <c r="B387" s="4">
        <v>25477.29</v>
      </c>
      <c r="C387" s="5">
        <v>98</v>
      </c>
      <c r="D387" s="6">
        <v>0.95420000000000005</v>
      </c>
      <c r="E387" s="6">
        <v>0.10639</v>
      </c>
    </row>
    <row r="388" spans="1:5" x14ac:dyDescent="0.3">
      <c r="A388" s="1" t="s">
        <v>91</v>
      </c>
      <c r="B388" s="4">
        <v>-9183.52</v>
      </c>
      <c r="C388" s="5">
        <v>17</v>
      </c>
      <c r="D388" s="6">
        <v>0.95181499999999997</v>
      </c>
      <c r="E388" s="6">
        <v>0.81081599999999998</v>
      </c>
    </row>
    <row r="389" spans="1:5" x14ac:dyDescent="0.3">
      <c r="A389" s="1" t="s">
        <v>240</v>
      </c>
      <c r="B389" s="4">
        <v>59761.15</v>
      </c>
      <c r="C389" s="5">
        <v>18</v>
      </c>
      <c r="D389" s="6">
        <v>0.99368100000000004</v>
      </c>
      <c r="E389" s="6">
        <v>0.92574400000000001</v>
      </c>
    </row>
    <row r="390" spans="1:5" x14ac:dyDescent="0.3">
      <c r="A390" s="1" t="s">
        <v>1680</v>
      </c>
      <c r="B390" s="4">
        <v>174046.36</v>
      </c>
      <c r="C390" s="5">
        <v>17</v>
      </c>
      <c r="D390" s="6">
        <v>1</v>
      </c>
      <c r="E390" s="6">
        <v>1</v>
      </c>
    </row>
    <row r="391" spans="1:5" x14ac:dyDescent="0.3">
      <c r="A391" s="1" t="s">
        <v>1681</v>
      </c>
      <c r="B391" s="4">
        <v>-25233.69</v>
      </c>
      <c r="C391" s="5">
        <v>20</v>
      </c>
      <c r="D391" s="6">
        <v>1</v>
      </c>
      <c r="E391" s="6" t="s">
        <v>1414</v>
      </c>
    </row>
    <row r="392" spans="1:5" x14ac:dyDescent="0.3">
      <c r="A392" s="1" t="s">
        <v>25</v>
      </c>
      <c r="B392" s="4">
        <v>210961</v>
      </c>
      <c r="C392" s="5">
        <v>15</v>
      </c>
      <c r="D392" s="6" t="s">
        <v>1414</v>
      </c>
      <c r="E392" s="6" t="s">
        <v>1414</v>
      </c>
    </row>
    <row r="393" spans="1:5" x14ac:dyDescent="0.3">
      <c r="A393" s="1" t="s">
        <v>1682</v>
      </c>
      <c r="B393" s="4">
        <v>9032.4699999999993</v>
      </c>
      <c r="C393" s="5">
        <v>6</v>
      </c>
      <c r="D393" s="6">
        <v>1</v>
      </c>
      <c r="E393" s="6" t="s">
        <v>1414</v>
      </c>
    </row>
    <row r="394" spans="1:5" x14ac:dyDescent="0.3">
      <c r="A394" s="1" t="s">
        <v>1441</v>
      </c>
      <c r="B394" s="4">
        <v>-139298.95000000001</v>
      </c>
      <c r="C394" s="5">
        <v>0</v>
      </c>
      <c r="D394" s="6">
        <v>0.99248700000000001</v>
      </c>
      <c r="E394" s="6">
        <v>0.28764200000000001</v>
      </c>
    </row>
    <row r="395" spans="1:5" x14ac:dyDescent="0.3">
      <c r="A395" s="1" t="s">
        <v>1929</v>
      </c>
      <c r="B395" s="4">
        <v>25574.18</v>
      </c>
      <c r="C395" s="5">
        <v>42</v>
      </c>
      <c r="D395" s="6">
        <v>1</v>
      </c>
      <c r="E395" s="6" t="s">
        <v>1414</v>
      </c>
    </row>
    <row r="396" spans="1:5" x14ac:dyDescent="0.3">
      <c r="A396" s="1" t="s">
        <v>1683</v>
      </c>
      <c r="B396" s="4">
        <v>122505.41</v>
      </c>
      <c r="C396" s="5">
        <v>11</v>
      </c>
      <c r="D396" s="6">
        <v>1</v>
      </c>
      <c r="E396" s="6" t="s">
        <v>1414</v>
      </c>
    </row>
    <row r="397" spans="1:5" x14ac:dyDescent="0.3">
      <c r="A397" s="1" t="s">
        <v>1684</v>
      </c>
      <c r="B397" s="4">
        <v>-10551.94</v>
      </c>
      <c r="C397" s="5">
        <v>0</v>
      </c>
      <c r="D397" s="6">
        <v>1</v>
      </c>
      <c r="E397" s="6">
        <v>0</v>
      </c>
    </row>
    <row r="398" spans="1:5" x14ac:dyDescent="0.3">
      <c r="A398" s="1" t="s">
        <v>1442</v>
      </c>
      <c r="B398" s="4">
        <v>43167.26</v>
      </c>
      <c r="C398" s="5">
        <v>15</v>
      </c>
      <c r="D398" s="6">
        <v>1</v>
      </c>
      <c r="E398" s="6">
        <v>1</v>
      </c>
    </row>
    <row r="399" spans="1:5" x14ac:dyDescent="0.3">
      <c r="A399" s="1" t="s">
        <v>549</v>
      </c>
      <c r="B399" s="4">
        <v>74822.509999999995</v>
      </c>
      <c r="C399" s="5">
        <v>19</v>
      </c>
      <c r="D399" s="6">
        <v>1</v>
      </c>
      <c r="E399" s="6">
        <v>1</v>
      </c>
    </row>
    <row r="400" spans="1:5" x14ac:dyDescent="0.3">
      <c r="A400" s="1" t="s">
        <v>614</v>
      </c>
      <c r="B400" s="4">
        <v>98238.03</v>
      </c>
      <c r="C400" s="5">
        <v>21</v>
      </c>
      <c r="D400" s="6">
        <v>0.99376600000000004</v>
      </c>
      <c r="E400" s="6">
        <v>0.890378</v>
      </c>
    </row>
    <row r="401" spans="1:5" x14ac:dyDescent="0.3">
      <c r="A401" s="1" t="s">
        <v>991</v>
      </c>
      <c r="B401" s="4">
        <v>63034.16</v>
      </c>
      <c r="C401" s="5">
        <v>21</v>
      </c>
      <c r="D401" s="6">
        <v>0.99905299999999997</v>
      </c>
      <c r="E401" s="6">
        <v>1</v>
      </c>
    </row>
    <row r="402" spans="1:5" x14ac:dyDescent="0.3">
      <c r="A402" s="1" t="s">
        <v>1930</v>
      </c>
      <c r="B402" s="4">
        <v>22558.93</v>
      </c>
      <c r="C402" s="5">
        <v>42</v>
      </c>
      <c r="D402" s="6">
        <v>0.9839</v>
      </c>
      <c r="E402" s="6">
        <v>0.83717200000000003</v>
      </c>
    </row>
    <row r="403" spans="1:5" x14ac:dyDescent="0.3">
      <c r="A403" s="1" t="s">
        <v>397</v>
      </c>
      <c r="B403" s="4">
        <v>-48542.01</v>
      </c>
      <c r="C403" s="5">
        <v>15</v>
      </c>
      <c r="D403" s="6">
        <v>0.99979899999999999</v>
      </c>
      <c r="E403" s="6">
        <v>0.65474299999999996</v>
      </c>
    </row>
    <row r="404" spans="1:5" x14ac:dyDescent="0.3">
      <c r="A404" s="1" t="s">
        <v>550</v>
      </c>
      <c r="B404" s="4">
        <v>36183.4</v>
      </c>
      <c r="C404" s="5">
        <v>26</v>
      </c>
      <c r="D404" s="6">
        <v>1</v>
      </c>
      <c r="E404" s="6">
        <v>1</v>
      </c>
    </row>
    <row r="405" spans="1:5" x14ac:dyDescent="0.3">
      <c r="A405" s="1" t="s">
        <v>1685</v>
      </c>
      <c r="B405" s="4">
        <v>96427.23</v>
      </c>
      <c r="C405" s="5">
        <v>14</v>
      </c>
      <c r="D405" s="6">
        <v>0.99770700000000001</v>
      </c>
      <c r="E405" s="6">
        <v>1</v>
      </c>
    </row>
    <row r="406" spans="1:5" x14ac:dyDescent="0.3">
      <c r="A406" s="1" t="s">
        <v>1443</v>
      </c>
      <c r="B406" s="4">
        <v>-134791.21</v>
      </c>
      <c r="C406" s="5">
        <v>7</v>
      </c>
      <c r="D406" s="6">
        <v>0.95011199999999996</v>
      </c>
      <c r="E406" s="6">
        <v>0.692438</v>
      </c>
    </row>
    <row r="407" spans="1:5" x14ac:dyDescent="0.3">
      <c r="A407" s="1" t="s">
        <v>837</v>
      </c>
      <c r="B407" s="4">
        <v>-6636.69</v>
      </c>
      <c r="C407" s="5">
        <v>9</v>
      </c>
      <c r="D407" s="6">
        <v>0.99614499999999995</v>
      </c>
      <c r="E407" s="6">
        <v>0</v>
      </c>
    </row>
    <row r="408" spans="1:5" x14ac:dyDescent="0.3">
      <c r="A408" s="1" t="s">
        <v>1686</v>
      </c>
      <c r="B408" s="4">
        <v>-1424.82</v>
      </c>
      <c r="C408" s="5">
        <v>32</v>
      </c>
      <c r="D408" s="6">
        <v>1</v>
      </c>
      <c r="E408" s="6">
        <v>1</v>
      </c>
    </row>
    <row r="409" spans="1:5" x14ac:dyDescent="0.3">
      <c r="A409" s="1" t="s">
        <v>838</v>
      </c>
      <c r="B409" s="4">
        <v>2224.9499999999998</v>
      </c>
      <c r="C409" s="5">
        <v>2</v>
      </c>
      <c r="D409" s="6">
        <v>1</v>
      </c>
      <c r="E409" s="6" t="s">
        <v>1414</v>
      </c>
    </row>
    <row r="410" spans="1:5" x14ac:dyDescent="0.3">
      <c r="A410" s="1" t="s">
        <v>1687</v>
      </c>
      <c r="B410" s="4">
        <v>-11283.6499999999</v>
      </c>
      <c r="C410" s="5">
        <v>3</v>
      </c>
      <c r="D410" s="6">
        <v>1</v>
      </c>
      <c r="E410" s="6" t="s">
        <v>1414</v>
      </c>
    </row>
    <row r="411" spans="1:5" x14ac:dyDescent="0.3">
      <c r="A411" s="1" t="s">
        <v>319</v>
      </c>
      <c r="B411" s="4">
        <v>-172035.23</v>
      </c>
      <c r="C411" s="5">
        <v>0</v>
      </c>
      <c r="D411" s="6">
        <v>0.99970599999999998</v>
      </c>
      <c r="E411" s="6">
        <v>0.974607</v>
      </c>
    </row>
    <row r="412" spans="1:5" x14ac:dyDescent="0.3">
      <c r="A412" s="1" t="s">
        <v>839</v>
      </c>
      <c r="B412" s="4">
        <v>23326.69</v>
      </c>
      <c r="C412" s="5">
        <v>30</v>
      </c>
      <c r="D412" s="6">
        <v>0.99539900000000003</v>
      </c>
      <c r="E412" s="6">
        <v>1</v>
      </c>
    </row>
    <row r="413" spans="1:5" x14ac:dyDescent="0.3">
      <c r="A413" s="1" t="s">
        <v>1688</v>
      </c>
      <c r="B413" s="4">
        <v>-8547.4500000000098</v>
      </c>
      <c r="C413" s="5">
        <v>3</v>
      </c>
      <c r="D413" s="6">
        <v>1</v>
      </c>
      <c r="E413" s="6">
        <v>1</v>
      </c>
    </row>
    <row r="414" spans="1:5" x14ac:dyDescent="0.3">
      <c r="A414" s="1" t="s">
        <v>1444</v>
      </c>
      <c r="B414" s="4">
        <v>21514.19</v>
      </c>
      <c r="C414" s="5">
        <v>15</v>
      </c>
      <c r="D414" s="6">
        <v>1</v>
      </c>
      <c r="E414" s="6">
        <v>1</v>
      </c>
    </row>
    <row r="415" spans="1:5" x14ac:dyDescent="0.3">
      <c r="A415" s="1" t="s">
        <v>1445</v>
      </c>
      <c r="B415" s="4">
        <v>-12734.14</v>
      </c>
      <c r="C415" s="5">
        <v>20</v>
      </c>
      <c r="D415" s="6">
        <v>0.94944200000000001</v>
      </c>
      <c r="E415" s="6">
        <v>0.58565199999999995</v>
      </c>
    </row>
    <row r="416" spans="1:5" x14ac:dyDescent="0.3">
      <c r="A416" s="1" t="s">
        <v>551</v>
      </c>
      <c r="B416" s="4">
        <v>27070.49</v>
      </c>
      <c r="C416" s="5">
        <v>15</v>
      </c>
      <c r="D416" s="6">
        <v>0.915354</v>
      </c>
      <c r="E416" s="6">
        <v>0</v>
      </c>
    </row>
    <row r="417" spans="1:5" x14ac:dyDescent="0.3">
      <c r="A417" s="1" t="s">
        <v>552</v>
      </c>
      <c r="B417" s="4">
        <v>-87375.7</v>
      </c>
      <c r="C417" s="5">
        <v>16</v>
      </c>
      <c r="D417" s="6">
        <v>0.99962099999999998</v>
      </c>
      <c r="E417" s="6">
        <v>0.72245099999999995</v>
      </c>
    </row>
    <row r="418" spans="1:5" x14ac:dyDescent="0.3">
      <c r="A418" s="1" t="s">
        <v>1689</v>
      </c>
      <c r="B418" s="4">
        <v>71410.53</v>
      </c>
      <c r="C418" s="5">
        <v>16</v>
      </c>
      <c r="D418" s="6">
        <v>1</v>
      </c>
      <c r="E418" s="6">
        <v>1</v>
      </c>
    </row>
    <row r="419" spans="1:5" x14ac:dyDescent="0.3">
      <c r="A419" s="1" t="s">
        <v>1690</v>
      </c>
      <c r="B419" s="4">
        <v>5517.99</v>
      </c>
      <c r="C419" s="5">
        <v>8</v>
      </c>
      <c r="D419" s="6">
        <v>1</v>
      </c>
      <c r="E419" s="6" t="s">
        <v>1414</v>
      </c>
    </row>
    <row r="420" spans="1:5" x14ac:dyDescent="0.3">
      <c r="A420" s="1" t="s">
        <v>1931</v>
      </c>
      <c r="B420" s="4">
        <v>83279.67</v>
      </c>
      <c r="C420" s="5">
        <v>19</v>
      </c>
      <c r="D420" s="6">
        <v>0.98981200000000003</v>
      </c>
      <c r="E420" s="6">
        <v>1</v>
      </c>
    </row>
    <row r="421" spans="1:5" x14ac:dyDescent="0.3">
      <c r="A421" s="1" t="s">
        <v>2040</v>
      </c>
      <c r="B421" s="4">
        <v>29778.22</v>
      </c>
      <c r="C421" s="5">
        <v>30</v>
      </c>
      <c r="D421" s="6" t="s">
        <v>1414</v>
      </c>
      <c r="E421" s="6" t="s">
        <v>1414</v>
      </c>
    </row>
    <row r="422" spans="1:5" x14ac:dyDescent="0.3">
      <c r="A422" s="1" t="s">
        <v>992</v>
      </c>
      <c r="B422" s="4">
        <v>103997.47</v>
      </c>
      <c r="C422" s="5">
        <v>31</v>
      </c>
      <c r="D422" s="6">
        <v>0.998359</v>
      </c>
      <c r="E422" s="6">
        <v>0.97693399999999997</v>
      </c>
    </row>
    <row r="423" spans="1:5" x14ac:dyDescent="0.3">
      <c r="A423" s="1" t="s">
        <v>398</v>
      </c>
      <c r="B423" s="4">
        <v>17035.43</v>
      </c>
      <c r="C423" s="5">
        <v>69</v>
      </c>
      <c r="D423" s="6">
        <v>0.99870000000000003</v>
      </c>
      <c r="E423" s="6">
        <v>1</v>
      </c>
    </row>
    <row r="424" spans="1:5" x14ac:dyDescent="0.3">
      <c r="A424" s="1" t="s">
        <v>1141</v>
      </c>
      <c r="B424" s="4">
        <v>15969.77</v>
      </c>
      <c r="C424" s="5">
        <v>19</v>
      </c>
      <c r="D424" s="6">
        <v>0.97897000000000001</v>
      </c>
      <c r="E424" s="6">
        <v>0.84609400000000001</v>
      </c>
    </row>
    <row r="425" spans="1:5" x14ac:dyDescent="0.3">
      <c r="A425" s="1" t="s">
        <v>1932</v>
      </c>
      <c r="B425" s="4">
        <v>11234.69</v>
      </c>
      <c r="C425" s="5">
        <v>20</v>
      </c>
      <c r="D425" s="6">
        <v>0.99112199999999995</v>
      </c>
      <c r="E425" s="6">
        <v>0</v>
      </c>
    </row>
    <row r="426" spans="1:5" x14ac:dyDescent="0.3">
      <c r="A426" s="1" t="s">
        <v>1446</v>
      </c>
      <c r="B426" s="4">
        <v>124605.1</v>
      </c>
      <c r="C426" s="5">
        <v>18</v>
      </c>
      <c r="D426" s="6">
        <v>0.98811499999999997</v>
      </c>
      <c r="E426" s="6">
        <v>1</v>
      </c>
    </row>
    <row r="427" spans="1:5" x14ac:dyDescent="0.3">
      <c r="A427" s="1" t="s">
        <v>1447</v>
      </c>
      <c r="B427" s="4">
        <v>124137.95</v>
      </c>
      <c r="C427" s="5">
        <v>25</v>
      </c>
      <c r="D427" s="6">
        <v>1</v>
      </c>
      <c r="E427" s="6">
        <v>0.94608899999999996</v>
      </c>
    </row>
    <row r="428" spans="1:5" x14ac:dyDescent="0.3">
      <c r="A428" s="1" t="s">
        <v>399</v>
      </c>
      <c r="B428" s="4">
        <v>-18896.29</v>
      </c>
      <c r="C428" s="5">
        <v>14</v>
      </c>
      <c r="D428" s="6">
        <v>1</v>
      </c>
      <c r="E428" s="6">
        <v>0.99443899999999996</v>
      </c>
    </row>
    <row r="429" spans="1:5" x14ac:dyDescent="0.3">
      <c r="A429" s="1" t="s">
        <v>1691</v>
      </c>
      <c r="B429" s="4">
        <v>2378.54</v>
      </c>
      <c r="C429" s="5">
        <v>41</v>
      </c>
      <c r="D429" s="6">
        <v>1</v>
      </c>
      <c r="E429" s="6" t="s">
        <v>1414</v>
      </c>
    </row>
    <row r="430" spans="1:5" x14ac:dyDescent="0.3">
      <c r="A430" s="1" t="s">
        <v>993</v>
      </c>
      <c r="B430" s="4">
        <v>68314.42</v>
      </c>
      <c r="C430" s="5">
        <v>24</v>
      </c>
      <c r="D430" s="6">
        <v>0.99271100000000001</v>
      </c>
      <c r="E430" s="6">
        <v>1</v>
      </c>
    </row>
    <row r="431" spans="1:5" x14ac:dyDescent="0.3">
      <c r="A431" s="1" t="s">
        <v>2041</v>
      </c>
      <c r="B431" s="4">
        <v>55332.47</v>
      </c>
      <c r="C431" s="5">
        <v>10</v>
      </c>
      <c r="D431" s="6" t="s">
        <v>1414</v>
      </c>
      <c r="E431" s="6" t="s">
        <v>1414</v>
      </c>
    </row>
    <row r="432" spans="1:5" x14ac:dyDescent="0.3">
      <c r="A432" s="1" t="s">
        <v>1142</v>
      </c>
      <c r="B432" s="4">
        <v>67494.62</v>
      </c>
      <c r="C432" s="5">
        <v>21</v>
      </c>
      <c r="D432" s="6">
        <v>0.99548300000000001</v>
      </c>
      <c r="E432" s="6">
        <v>1</v>
      </c>
    </row>
    <row r="433" spans="1:5" x14ac:dyDescent="0.3">
      <c r="A433" s="1" t="s">
        <v>1143</v>
      </c>
      <c r="B433" s="4">
        <v>-17266.599999999999</v>
      </c>
      <c r="C433" s="5">
        <v>52</v>
      </c>
      <c r="D433" s="6">
        <v>0.99016099999999996</v>
      </c>
      <c r="E433" s="6">
        <v>0.85297900000000004</v>
      </c>
    </row>
    <row r="434" spans="1:5" x14ac:dyDescent="0.3">
      <c r="A434" s="1" t="s">
        <v>2042</v>
      </c>
      <c r="B434" s="4">
        <v>-43495.69</v>
      </c>
      <c r="C434" s="5">
        <v>13</v>
      </c>
      <c r="D434" s="6">
        <v>0.996753</v>
      </c>
      <c r="E434" s="6">
        <v>0.95320000000000005</v>
      </c>
    </row>
    <row r="435" spans="1:5" x14ac:dyDescent="0.3">
      <c r="A435" s="1" t="s">
        <v>171</v>
      </c>
      <c r="B435" s="4">
        <v>21098.39</v>
      </c>
      <c r="C435" s="5">
        <v>16</v>
      </c>
      <c r="D435" s="6">
        <v>1</v>
      </c>
      <c r="E435" s="6">
        <v>0.81476999999999999</v>
      </c>
    </row>
    <row r="436" spans="1:5" x14ac:dyDescent="0.3">
      <c r="A436" s="1" t="s">
        <v>400</v>
      </c>
      <c r="B436" s="4">
        <v>-275985.08</v>
      </c>
      <c r="C436" s="5">
        <v>16</v>
      </c>
      <c r="D436" s="6">
        <v>0.99834199999999995</v>
      </c>
      <c r="E436" s="6">
        <v>0.404638</v>
      </c>
    </row>
    <row r="437" spans="1:5" x14ac:dyDescent="0.3">
      <c r="A437" s="1" t="s">
        <v>172</v>
      </c>
      <c r="B437" s="4">
        <v>83902.09</v>
      </c>
      <c r="C437" s="5">
        <v>20</v>
      </c>
      <c r="D437" s="6">
        <v>1</v>
      </c>
      <c r="E437" s="6" t="s">
        <v>1414</v>
      </c>
    </row>
    <row r="438" spans="1:5" x14ac:dyDescent="0.3">
      <c r="A438" s="1" t="s">
        <v>241</v>
      </c>
      <c r="B438" s="4">
        <v>-46558.26</v>
      </c>
      <c r="C438" s="5">
        <v>57</v>
      </c>
      <c r="D438" s="6">
        <v>0.99548700000000001</v>
      </c>
      <c r="E438" s="6">
        <v>0.53331399999999995</v>
      </c>
    </row>
    <row r="439" spans="1:5" x14ac:dyDescent="0.3">
      <c r="A439" s="1" t="s">
        <v>1448</v>
      </c>
      <c r="B439" s="4">
        <v>-28190.59</v>
      </c>
      <c r="C439" s="5">
        <v>15</v>
      </c>
      <c r="D439" s="6">
        <v>0.98851999999999995</v>
      </c>
      <c r="E439" s="6">
        <v>0.74265700000000001</v>
      </c>
    </row>
    <row r="440" spans="1:5" x14ac:dyDescent="0.3">
      <c r="A440" s="1" t="s">
        <v>1692</v>
      </c>
      <c r="B440" s="4">
        <v>80883.14</v>
      </c>
      <c r="C440" s="5">
        <v>15</v>
      </c>
      <c r="D440" s="6">
        <v>1</v>
      </c>
      <c r="E440" s="6" t="s">
        <v>1414</v>
      </c>
    </row>
    <row r="441" spans="1:5" x14ac:dyDescent="0.3">
      <c r="A441" s="1" t="s">
        <v>2043</v>
      </c>
      <c r="B441" s="4">
        <v>16866.2</v>
      </c>
      <c r="C441" s="5">
        <v>20</v>
      </c>
      <c r="D441" s="6" t="s">
        <v>1414</v>
      </c>
      <c r="E441" s="6" t="s">
        <v>1414</v>
      </c>
    </row>
    <row r="442" spans="1:5" x14ac:dyDescent="0.3">
      <c r="A442" s="1" t="s">
        <v>401</v>
      </c>
      <c r="B442" s="4">
        <v>-367561.81</v>
      </c>
      <c r="C442" s="5">
        <v>0</v>
      </c>
      <c r="D442" s="6">
        <v>0.99738800000000005</v>
      </c>
      <c r="E442" s="6">
        <v>0.78154599999999996</v>
      </c>
    </row>
    <row r="443" spans="1:5" x14ac:dyDescent="0.3">
      <c r="A443" s="1" t="s">
        <v>465</v>
      </c>
      <c r="B443" s="4">
        <v>326188.78000000003</v>
      </c>
      <c r="C443" s="5">
        <v>18</v>
      </c>
      <c r="D443" s="6">
        <v>0.99795999999999996</v>
      </c>
      <c r="E443" s="6">
        <v>0.87690500000000005</v>
      </c>
    </row>
    <row r="444" spans="1:5" x14ac:dyDescent="0.3">
      <c r="A444" s="1" t="s">
        <v>402</v>
      </c>
      <c r="B444" s="4">
        <v>10978</v>
      </c>
      <c r="C444" s="5">
        <v>11</v>
      </c>
      <c r="D444" s="6">
        <v>0.990896</v>
      </c>
      <c r="E444" s="6">
        <v>1</v>
      </c>
    </row>
    <row r="445" spans="1:5" x14ac:dyDescent="0.3">
      <c r="A445" s="1" t="s">
        <v>1693</v>
      </c>
      <c r="B445" s="4">
        <v>45121.63</v>
      </c>
      <c r="C445" s="5">
        <v>56</v>
      </c>
      <c r="D445" s="6">
        <v>0.82459800000000005</v>
      </c>
      <c r="E445" s="6">
        <v>0.8</v>
      </c>
    </row>
    <row r="446" spans="1:5" x14ac:dyDescent="0.3">
      <c r="A446" s="1" t="s">
        <v>615</v>
      </c>
      <c r="B446" s="4">
        <v>46784.04</v>
      </c>
      <c r="C446" s="5">
        <v>23</v>
      </c>
      <c r="D446" s="6">
        <v>0.99484099999999998</v>
      </c>
      <c r="E446" s="6">
        <v>0.786304</v>
      </c>
    </row>
    <row r="447" spans="1:5" x14ac:dyDescent="0.3">
      <c r="A447" s="1" t="s">
        <v>1449</v>
      </c>
      <c r="B447" s="4">
        <v>42665.760000000002</v>
      </c>
      <c r="C447" s="5">
        <v>56</v>
      </c>
      <c r="D447" s="6">
        <v>1</v>
      </c>
      <c r="E447" s="6" t="s">
        <v>1414</v>
      </c>
    </row>
    <row r="448" spans="1:5" x14ac:dyDescent="0.3">
      <c r="A448" s="1" t="s">
        <v>1694</v>
      </c>
      <c r="B448" s="4">
        <v>-73777.600000000006</v>
      </c>
      <c r="C448" s="5">
        <v>13</v>
      </c>
      <c r="D448" s="6">
        <v>0.99548099999999995</v>
      </c>
      <c r="E448" s="6">
        <v>0</v>
      </c>
    </row>
    <row r="449" spans="1:5" x14ac:dyDescent="0.3">
      <c r="A449" s="1" t="s">
        <v>616</v>
      </c>
      <c r="B449" s="4">
        <v>24678.02</v>
      </c>
      <c r="C449" s="5">
        <v>32</v>
      </c>
      <c r="D449" s="6">
        <v>0.99962200000000001</v>
      </c>
      <c r="E449" s="6">
        <v>0</v>
      </c>
    </row>
    <row r="450" spans="1:5" x14ac:dyDescent="0.3">
      <c r="A450" s="1" t="s">
        <v>1695</v>
      </c>
      <c r="B450" s="4">
        <v>33924.239999999998</v>
      </c>
      <c r="C450" s="5">
        <v>44</v>
      </c>
      <c r="D450" s="6">
        <v>0.99317299999999997</v>
      </c>
      <c r="E450" s="6" t="s">
        <v>1414</v>
      </c>
    </row>
    <row r="451" spans="1:5" x14ac:dyDescent="0.3">
      <c r="A451" s="1" t="s">
        <v>840</v>
      </c>
      <c r="B451" s="4">
        <v>-14206.64</v>
      </c>
      <c r="C451" s="5">
        <v>15</v>
      </c>
      <c r="D451" s="6">
        <v>1</v>
      </c>
      <c r="E451" s="6">
        <v>1</v>
      </c>
    </row>
    <row r="452" spans="1:5" x14ac:dyDescent="0.3">
      <c r="A452" s="1" t="s">
        <v>920</v>
      </c>
      <c r="B452" s="4">
        <v>1923.02</v>
      </c>
      <c r="C452" s="5">
        <v>18</v>
      </c>
      <c r="D452" s="6">
        <v>0.99596700000000005</v>
      </c>
      <c r="E452" s="6">
        <v>0.78645100000000001</v>
      </c>
    </row>
    <row r="453" spans="1:5" x14ac:dyDescent="0.3">
      <c r="A453" s="1" t="s">
        <v>1696</v>
      </c>
      <c r="B453" s="4">
        <v>-27876.67</v>
      </c>
      <c r="C453" s="5">
        <v>16</v>
      </c>
      <c r="D453" s="6">
        <v>1</v>
      </c>
      <c r="E453" s="6">
        <v>0</v>
      </c>
    </row>
    <row r="454" spans="1:5" x14ac:dyDescent="0.3">
      <c r="A454" s="1" t="s">
        <v>173</v>
      </c>
      <c r="B454" s="4">
        <v>23465.89</v>
      </c>
      <c r="C454" s="5">
        <v>17</v>
      </c>
      <c r="D454" s="6">
        <v>0.99811700000000003</v>
      </c>
      <c r="E454" s="6">
        <v>1</v>
      </c>
    </row>
    <row r="455" spans="1:5" x14ac:dyDescent="0.3">
      <c r="A455" s="1" t="s">
        <v>403</v>
      </c>
      <c r="B455" s="4">
        <v>-24670.7</v>
      </c>
      <c r="C455" s="5">
        <v>19</v>
      </c>
      <c r="D455" s="6">
        <v>1</v>
      </c>
      <c r="E455" s="6">
        <v>0.56025000000000003</v>
      </c>
    </row>
    <row r="456" spans="1:5" x14ac:dyDescent="0.3">
      <c r="A456" s="1" t="s">
        <v>1697</v>
      </c>
      <c r="B456" s="4">
        <v>-24860.79</v>
      </c>
      <c r="C456" s="5">
        <v>10</v>
      </c>
      <c r="D456" s="6">
        <v>1</v>
      </c>
      <c r="E456" s="6" t="s">
        <v>1414</v>
      </c>
    </row>
    <row r="457" spans="1:5" x14ac:dyDescent="0.3">
      <c r="A457" s="1" t="s">
        <v>921</v>
      </c>
      <c r="B457" s="4">
        <v>217047.06</v>
      </c>
      <c r="C457" s="5">
        <v>28</v>
      </c>
      <c r="D457" s="6">
        <v>0.99677800000000005</v>
      </c>
      <c r="E457" s="6">
        <v>0.78935699999999998</v>
      </c>
    </row>
    <row r="458" spans="1:5" x14ac:dyDescent="0.3">
      <c r="A458" s="1" t="s">
        <v>174</v>
      </c>
      <c r="B458" s="4">
        <v>-135252.94</v>
      </c>
      <c r="C458" s="5">
        <v>12</v>
      </c>
      <c r="D458" s="6">
        <v>0.99971900000000002</v>
      </c>
      <c r="E458" s="6">
        <v>0.60213499999999998</v>
      </c>
    </row>
    <row r="459" spans="1:5" x14ac:dyDescent="0.3">
      <c r="A459" s="1" t="s">
        <v>1933</v>
      </c>
      <c r="B459" s="4">
        <v>97253.99</v>
      </c>
      <c r="C459" s="5">
        <v>16</v>
      </c>
      <c r="D459" s="6">
        <v>1</v>
      </c>
      <c r="E459" s="6">
        <v>1</v>
      </c>
    </row>
    <row r="460" spans="1:5" x14ac:dyDescent="0.3">
      <c r="A460" s="1" t="s">
        <v>26</v>
      </c>
      <c r="B460" s="4">
        <v>-38280.120000000003</v>
      </c>
      <c r="C460" s="5">
        <v>16</v>
      </c>
      <c r="D460" s="6">
        <v>0.99863500000000005</v>
      </c>
      <c r="E460" s="6">
        <v>1</v>
      </c>
    </row>
    <row r="461" spans="1:5" x14ac:dyDescent="0.3">
      <c r="A461" s="1" t="s">
        <v>1450</v>
      </c>
      <c r="B461" s="4">
        <v>54161.599999999999</v>
      </c>
      <c r="C461" s="5">
        <v>16</v>
      </c>
      <c r="D461" s="6">
        <v>1</v>
      </c>
      <c r="E461" s="6" t="s">
        <v>1414</v>
      </c>
    </row>
    <row r="462" spans="1:5" x14ac:dyDescent="0.3">
      <c r="A462" s="1" t="s">
        <v>1698</v>
      </c>
      <c r="B462" s="4">
        <v>-16942.919999999998</v>
      </c>
      <c r="C462" s="5">
        <v>15</v>
      </c>
      <c r="D462" s="6">
        <v>1</v>
      </c>
      <c r="E462" s="6" t="s">
        <v>1414</v>
      </c>
    </row>
    <row r="463" spans="1:5" x14ac:dyDescent="0.3">
      <c r="A463" s="1" t="s">
        <v>841</v>
      </c>
      <c r="B463" s="4">
        <v>35330.85</v>
      </c>
      <c r="C463" s="5">
        <v>10</v>
      </c>
      <c r="D463" s="6">
        <v>1</v>
      </c>
      <c r="E463" s="6">
        <v>0.26372600000000002</v>
      </c>
    </row>
    <row r="464" spans="1:5" x14ac:dyDescent="0.3">
      <c r="A464" s="1" t="s">
        <v>320</v>
      </c>
      <c r="B464" s="4">
        <v>-219292.92</v>
      </c>
      <c r="C464" s="5">
        <v>31</v>
      </c>
      <c r="D464" s="6">
        <v>0.99870499999999995</v>
      </c>
      <c r="E464" s="6">
        <v>0.85839399999999999</v>
      </c>
    </row>
    <row r="465" spans="1:5" x14ac:dyDescent="0.3">
      <c r="A465" s="1" t="s">
        <v>1699</v>
      </c>
      <c r="B465" s="4">
        <v>1135.56</v>
      </c>
      <c r="C465" s="5">
        <v>21</v>
      </c>
      <c r="D465" s="6">
        <v>0.96441500000000002</v>
      </c>
      <c r="E465" s="6">
        <v>0</v>
      </c>
    </row>
    <row r="466" spans="1:5" x14ac:dyDescent="0.3">
      <c r="A466" s="1" t="s">
        <v>92</v>
      </c>
      <c r="B466" s="4">
        <v>37601.19</v>
      </c>
      <c r="C466" s="5">
        <v>16</v>
      </c>
      <c r="D466" s="6">
        <v>0.99182800000000004</v>
      </c>
      <c r="E466" s="6">
        <v>0.91437999999999997</v>
      </c>
    </row>
    <row r="467" spans="1:5" x14ac:dyDescent="0.3">
      <c r="A467" s="1" t="s">
        <v>757</v>
      </c>
      <c r="B467" s="4">
        <v>78501.740000000005</v>
      </c>
      <c r="C467" s="5">
        <v>90</v>
      </c>
      <c r="D467" s="6">
        <v>0.94623100000000004</v>
      </c>
      <c r="E467" s="6">
        <v>0.30954799999999999</v>
      </c>
    </row>
    <row r="468" spans="1:5" x14ac:dyDescent="0.3">
      <c r="A468" s="1" t="s">
        <v>175</v>
      </c>
      <c r="B468" s="4">
        <v>76890.320000000007</v>
      </c>
      <c r="C468" s="5">
        <v>22</v>
      </c>
      <c r="D468" s="6">
        <v>0.99607599999999996</v>
      </c>
      <c r="E468" s="6">
        <v>0.11980300000000001</v>
      </c>
    </row>
    <row r="469" spans="1:5" x14ac:dyDescent="0.3">
      <c r="A469" s="1" t="s">
        <v>2044</v>
      </c>
      <c r="B469" s="4">
        <v>24128</v>
      </c>
      <c r="C469" s="5">
        <v>5</v>
      </c>
      <c r="D469" s="6" t="s">
        <v>1414</v>
      </c>
      <c r="E469" s="6" t="s">
        <v>1414</v>
      </c>
    </row>
    <row r="470" spans="1:5" x14ac:dyDescent="0.3">
      <c r="A470" s="1" t="s">
        <v>1451</v>
      </c>
      <c r="B470" s="4">
        <v>105317.34</v>
      </c>
      <c r="C470" s="5">
        <v>19</v>
      </c>
      <c r="D470" s="6">
        <v>0.99391499999999999</v>
      </c>
      <c r="E470" s="6">
        <v>0.93444899999999997</v>
      </c>
    </row>
    <row r="471" spans="1:5" x14ac:dyDescent="0.3">
      <c r="A471" s="1" t="s">
        <v>2045</v>
      </c>
      <c r="B471" s="4">
        <v>-77797</v>
      </c>
      <c r="C471" s="5">
        <v>0</v>
      </c>
      <c r="D471" s="6">
        <v>0</v>
      </c>
      <c r="E471" s="6">
        <v>0.25773400000000002</v>
      </c>
    </row>
    <row r="472" spans="1:5" x14ac:dyDescent="0.3">
      <c r="A472" s="1" t="s">
        <v>1934</v>
      </c>
      <c r="B472" s="4">
        <v>80233</v>
      </c>
      <c r="C472" s="5">
        <v>5</v>
      </c>
      <c r="D472" s="6" t="s">
        <v>1414</v>
      </c>
      <c r="E472" s="6" t="s">
        <v>1414</v>
      </c>
    </row>
    <row r="473" spans="1:5" x14ac:dyDescent="0.3">
      <c r="A473" s="1" t="s">
        <v>693</v>
      </c>
      <c r="B473" s="4">
        <v>-59110.3</v>
      </c>
      <c r="C473" s="5">
        <v>15</v>
      </c>
      <c r="D473" s="6">
        <v>0.97625799999999996</v>
      </c>
      <c r="E473" s="6">
        <v>0.431093</v>
      </c>
    </row>
    <row r="474" spans="1:5" x14ac:dyDescent="0.3">
      <c r="A474" s="1" t="s">
        <v>2046</v>
      </c>
      <c r="B474" s="4">
        <v>121138</v>
      </c>
      <c r="C474" s="5">
        <v>14</v>
      </c>
      <c r="D474" s="6" t="s">
        <v>1414</v>
      </c>
      <c r="E474" s="6" t="s">
        <v>1414</v>
      </c>
    </row>
    <row r="475" spans="1:5" x14ac:dyDescent="0.3">
      <c r="A475" s="1" t="s">
        <v>617</v>
      </c>
      <c r="B475" s="4">
        <v>-253100.09</v>
      </c>
      <c r="C475" s="5">
        <v>8</v>
      </c>
      <c r="D475" s="6">
        <v>0.99534400000000001</v>
      </c>
      <c r="E475" s="6">
        <v>0.98696200000000001</v>
      </c>
    </row>
    <row r="476" spans="1:5" x14ac:dyDescent="0.3">
      <c r="A476" s="1" t="s">
        <v>553</v>
      </c>
      <c r="B476" s="4">
        <v>61263.040000000001</v>
      </c>
      <c r="C476" s="5">
        <v>21</v>
      </c>
      <c r="D476" s="6">
        <v>1</v>
      </c>
      <c r="E476" s="6" t="s">
        <v>1414</v>
      </c>
    </row>
    <row r="477" spans="1:5" x14ac:dyDescent="0.3">
      <c r="A477" s="1" t="s">
        <v>1452</v>
      </c>
      <c r="B477" s="4">
        <v>45334.59</v>
      </c>
      <c r="C477" s="5">
        <v>16</v>
      </c>
      <c r="D477" s="6">
        <v>0.99517999999999995</v>
      </c>
      <c r="E477" s="6">
        <v>1</v>
      </c>
    </row>
    <row r="478" spans="1:5" x14ac:dyDescent="0.3">
      <c r="A478" s="1" t="s">
        <v>694</v>
      </c>
      <c r="B478" s="4">
        <v>70679.460000000006</v>
      </c>
      <c r="C478" s="5">
        <v>111</v>
      </c>
      <c r="D478" s="6">
        <v>0.984016</v>
      </c>
      <c r="E478" s="6">
        <v>0.88513299999999995</v>
      </c>
    </row>
    <row r="479" spans="1:5" x14ac:dyDescent="0.3">
      <c r="A479" s="1" t="s">
        <v>27</v>
      </c>
      <c r="B479" s="4">
        <v>-7962.77</v>
      </c>
      <c r="C479" s="5">
        <v>18</v>
      </c>
      <c r="D479" s="6">
        <v>0.99361100000000002</v>
      </c>
      <c r="E479" s="6">
        <v>0.773613</v>
      </c>
    </row>
    <row r="480" spans="1:5" x14ac:dyDescent="0.3">
      <c r="A480" s="1" t="s">
        <v>28</v>
      </c>
      <c r="B480" s="4">
        <v>-54539.21</v>
      </c>
      <c r="C480" s="5">
        <v>9</v>
      </c>
      <c r="D480" s="6">
        <v>0.99293399999999998</v>
      </c>
      <c r="E480" s="6">
        <v>0.71073500000000001</v>
      </c>
    </row>
    <row r="481" spans="1:5" x14ac:dyDescent="0.3">
      <c r="A481" s="1" t="s">
        <v>29</v>
      </c>
      <c r="B481" s="4">
        <v>-36131.78</v>
      </c>
      <c r="C481" s="5">
        <v>11</v>
      </c>
      <c r="D481" s="6">
        <v>0.97170199999999995</v>
      </c>
      <c r="E481" s="6">
        <v>0.95022399999999996</v>
      </c>
    </row>
    <row r="482" spans="1:5" x14ac:dyDescent="0.3">
      <c r="A482" s="1" t="s">
        <v>2047</v>
      </c>
      <c r="B482" s="4">
        <v>5000</v>
      </c>
      <c r="C482" s="5">
        <v>1</v>
      </c>
      <c r="D482" s="6" t="s">
        <v>1414</v>
      </c>
      <c r="E482" s="6" t="s">
        <v>1414</v>
      </c>
    </row>
    <row r="483" spans="1:5" x14ac:dyDescent="0.3">
      <c r="A483" s="1" t="s">
        <v>1935</v>
      </c>
      <c r="B483" s="4">
        <v>43865.51</v>
      </c>
      <c r="C483" s="5">
        <v>12</v>
      </c>
      <c r="D483" s="6">
        <v>1</v>
      </c>
      <c r="E483" s="6" t="s">
        <v>1414</v>
      </c>
    </row>
    <row r="484" spans="1:5" x14ac:dyDescent="0.3">
      <c r="A484" s="1" t="s">
        <v>2048</v>
      </c>
      <c r="B484" s="4">
        <v>14500</v>
      </c>
      <c r="C484" s="5">
        <v>2</v>
      </c>
      <c r="D484" s="6" t="s">
        <v>1414</v>
      </c>
      <c r="E484" s="6" t="s">
        <v>1414</v>
      </c>
    </row>
    <row r="485" spans="1:5" x14ac:dyDescent="0.3">
      <c r="A485" s="1" t="s">
        <v>2049</v>
      </c>
      <c r="B485" s="4">
        <v>6511.89</v>
      </c>
      <c r="C485" s="5">
        <v>7</v>
      </c>
      <c r="D485" s="6">
        <v>1</v>
      </c>
      <c r="E485" s="6" t="s">
        <v>1414</v>
      </c>
    </row>
    <row r="486" spans="1:5" x14ac:dyDescent="0.3">
      <c r="A486" s="1" t="s">
        <v>176</v>
      </c>
      <c r="B486" s="4">
        <v>-4663.3100000000004</v>
      </c>
      <c r="C486" s="5">
        <v>14</v>
      </c>
      <c r="D486" s="6">
        <v>0.98086700000000004</v>
      </c>
      <c r="E486" s="6">
        <v>0.56958200000000003</v>
      </c>
    </row>
    <row r="487" spans="1:5" x14ac:dyDescent="0.3">
      <c r="A487" s="1" t="s">
        <v>2050</v>
      </c>
      <c r="B487" s="4">
        <v>4436.0600000000004</v>
      </c>
      <c r="C487" s="5">
        <v>3</v>
      </c>
      <c r="D487" s="6" t="s">
        <v>1414</v>
      </c>
      <c r="E487" s="6" t="s">
        <v>1414</v>
      </c>
    </row>
    <row r="488" spans="1:5" x14ac:dyDescent="0.3">
      <c r="A488" s="1" t="s">
        <v>1936</v>
      </c>
      <c r="B488" s="4">
        <v>-32531.86</v>
      </c>
      <c r="C488" s="5">
        <v>31</v>
      </c>
      <c r="D488" s="6">
        <v>0.971773</v>
      </c>
      <c r="E488" s="6">
        <v>0.65222000000000002</v>
      </c>
    </row>
    <row r="489" spans="1:5" x14ac:dyDescent="0.3">
      <c r="A489" s="1" t="s">
        <v>1071</v>
      </c>
      <c r="B489" s="4">
        <v>52122.87</v>
      </c>
      <c r="C489" s="5">
        <v>16</v>
      </c>
      <c r="D489" s="6">
        <v>0.98930799999999997</v>
      </c>
      <c r="E489" s="6">
        <v>0.86151999999999995</v>
      </c>
    </row>
    <row r="490" spans="1:5" x14ac:dyDescent="0.3">
      <c r="A490" s="1" t="s">
        <v>1453</v>
      </c>
      <c r="B490" s="4">
        <v>-127473.97</v>
      </c>
      <c r="C490" s="5">
        <v>0</v>
      </c>
      <c r="D490" s="6">
        <v>0.98991200000000001</v>
      </c>
      <c r="E490" s="6">
        <v>6.8057999999999994E-2</v>
      </c>
    </row>
    <row r="491" spans="1:5" x14ac:dyDescent="0.3">
      <c r="A491" s="1" t="s">
        <v>1700</v>
      </c>
      <c r="B491" s="4">
        <v>91127.84</v>
      </c>
      <c r="C491" s="5">
        <v>17</v>
      </c>
      <c r="D491" s="6">
        <v>1</v>
      </c>
      <c r="E491" s="6" t="s">
        <v>1414</v>
      </c>
    </row>
    <row r="492" spans="1:5" x14ac:dyDescent="0.3">
      <c r="A492" s="1" t="s">
        <v>2051</v>
      </c>
      <c r="B492" s="4">
        <v>181398.36</v>
      </c>
      <c r="C492" s="5">
        <v>15</v>
      </c>
      <c r="D492" s="6">
        <v>1</v>
      </c>
      <c r="E492" s="6" t="s">
        <v>1414</v>
      </c>
    </row>
    <row r="493" spans="1:5" x14ac:dyDescent="0.3">
      <c r="A493" s="1" t="s">
        <v>1454</v>
      </c>
      <c r="B493" s="4">
        <v>19730.89</v>
      </c>
      <c r="C493" s="5">
        <v>22</v>
      </c>
      <c r="D493" s="6">
        <v>0.99957200000000002</v>
      </c>
      <c r="E493" s="6">
        <v>0.62289899999999998</v>
      </c>
    </row>
    <row r="494" spans="1:5" x14ac:dyDescent="0.3">
      <c r="A494" s="1" t="s">
        <v>554</v>
      </c>
      <c r="B494" s="4">
        <v>378110.36</v>
      </c>
      <c r="C494" s="5">
        <v>25</v>
      </c>
      <c r="D494" s="6">
        <v>0.993703</v>
      </c>
      <c r="E494" s="6">
        <v>1</v>
      </c>
    </row>
    <row r="495" spans="1:5" x14ac:dyDescent="0.3">
      <c r="A495" s="1" t="s">
        <v>1937</v>
      </c>
      <c r="B495" s="4">
        <v>59718.07</v>
      </c>
      <c r="C495" s="5">
        <v>17</v>
      </c>
      <c r="D495" s="6">
        <v>1</v>
      </c>
      <c r="E495" s="6" t="s">
        <v>1414</v>
      </c>
    </row>
    <row r="496" spans="1:5" x14ac:dyDescent="0.3">
      <c r="A496" s="1" t="s">
        <v>994</v>
      </c>
      <c r="B496" s="4">
        <v>151932.98000000001</v>
      </c>
      <c r="C496" s="5">
        <v>20</v>
      </c>
      <c r="D496" s="6">
        <v>0.97021900000000005</v>
      </c>
      <c r="E496" s="6">
        <v>1.7472999999999999E-2</v>
      </c>
    </row>
    <row r="497" spans="1:5" x14ac:dyDescent="0.3">
      <c r="A497" s="1" t="s">
        <v>177</v>
      </c>
      <c r="B497" s="4">
        <v>-881090.6</v>
      </c>
      <c r="C497" s="5">
        <v>0</v>
      </c>
      <c r="D497" s="6">
        <v>0.98877499999999996</v>
      </c>
      <c r="E497" s="6" t="s">
        <v>1414</v>
      </c>
    </row>
    <row r="498" spans="1:5" x14ac:dyDescent="0.3">
      <c r="A498" s="1" t="s">
        <v>2052</v>
      </c>
      <c r="B498" s="4">
        <v>8867.9</v>
      </c>
      <c r="C498" s="5">
        <v>10</v>
      </c>
      <c r="D498" s="6" t="s">
        <v>1414</v>
      </c>
      <c r="E498" s="6" t="s">
        <v>1414</v>
      </c>
    </row>
    <row r="499" spans="1:5" x14ac:dyDescent="0.3">
      <c r="A499" s="1" t="s">
        <v>1455</v>
      </c>
      <c r="B499" s="4">
        <v>-21610.080000000002</v>
      </c>
      <c r="C499" s="5">
        <v>19</v>
      </c>
      <c r="D499" s="6">
        <v>0.98332200000000003</v>
      </c>
      <c r="E499" s="6">
        <v>0.45871400000000001</v>
      </c>
    </row>
    <row r="500" spans="1:5" x14ac:dyDescent="0.3">
      <c r="A500" s="1" t="s">
        <v>2053</v>
      </c>
      <c r="B500" s="4">
        <v>228665.51</v>
      </c>
      <c r="C500" s="5">
        <v>18</v>
      </c>
      <c r="D500" s="6">
        <v>1</v>
      </c>
      <c r="E500" s="6" t="s">
        <v>1414</v>
      </c>
    </row>
    <row r="501" spans="1:5" x14ac:dyDescent="0.3">
      <c r="A501" s="1" t="s">
        <v>1456</v>
      </c>
      <c r="B501" s="4">
        <v>50203.16</v>
      </c>
      <c r="C501" s="5">
        <v>15</v>
      </c>
      <c r="D501" s="6">
        <v>0.99213300000000004</v>
      </c>
      <c r="E501" s="6">
        <v>0.10269</v>
      </c>
    </row>
    <row r="502" spans="1:5" x14ac:dyDescent="0.3">
      <c r="A502" s="1" t="s">
        <v>995</v>
      </c>
      <c r="B502" s="4">
        <v>97597.45</v>
      </c>
      <c r="C502" s="5">
        <v>15</v>
      </c>
      <c r="D502" s="6">
        <v>0.99978599999999995</v>
      </c>
      <c r="E502" s="6">
        <v>1</v>
      </c>
    </row>
    <row r="503" spans="1:5" x14ac:dyDescent="0.3">
      <c r="A503" s="1" t="s">
        <v>466</v>
      </c>
      <c r="B503" s="4">
        <v>-24519.72</v>
      </c>
      <c r="C503" s="5">
        <v>42</v>
      </c>
      <c r="D503" s="6">
        <v>0.94942300000000002</v>
      </c>
      <c r="E503" s="6">
        <v>0.262407</v>
      </c>
    </row>
    <row r="504" spans="1:5" x14ac:dyDescent="0.3">
      <c r="A504" s="1" t="s">
        <v>30</v>
      </c>
      <c r="B504" s="4">
        <v>-202900.96</v>
      </c>
      <c r="C504" s="5">
        <v>0</v>
      </c>
      <c r="D504" s="6">
        <v>0.95928899999999995</v>
      </c>
      <c r="E504" s="6">
        <v>0.41257300000000002</v>
      </c>
    </row>
    <row r="505" spans="1:5" x14ac:dyDescent="0.3">
      <c r="A505" s="1" t="s">
        <v>31</v>
      </c>
      <c r="B505" s="4">
        <v>25439.29</v>
      </c>
      <c r="C505" s="5">
        <v>16</v>
      </c>
      <c r="D505" s="6">
        <v>1</v>
      </c>
      <c r="E505" s="6">
        <v>1</v>
      </c>
    </row>
    <row r="506" spans="1:5" x14ac:dyDescent="0.3">
      <c r="A506" s="1" t="s">
        <v>1938</v>
      </c>
      <c r="B506" s="4">
        <v>5658.43</v>
      </c>
      <c r="C506" s="5">
        <v>10</v>
      </c>
      <c r="D506" s="6">
        <v>0.99943199999999999</v>
      </c>
      <c r="E506" s="6">
        <v>1</v>
      </c>
    </row>
    <row r="507" spans="1:5" x14ac:dyDescent="0.3">
      <c r="A507" s="1" t="s">
        <v>242</v>
      </c>
      <c r="B507" s="4">
        <v>16264.39</v>
      </c>
      <c r="C507" s="5">
        <v>17</v>
      </c>
      <c r="D507" s="6">
        <v>1</v>
      </c>
      <c r="E507" s="6">
        <v>1</v>
      </c>
    </row>
    <row r="508" spans="1:5" x14ac:dyDescent="0.3">
      <c r="A508" s="1" t="s">
        <v>321</v>
      </c>
      <c r="B508" s="4">
        <v>45190.58</v>
      </c>
      <c r="C508" s="5">
        <v>19</v>
      </c>
      <c r="D508" s="6">
        <v>0.99827500000000002</v>
      </c>
      <c r="E508" s="6">
        <v>1</v>
      </c>
    </row>
    <row r="509" spans="1:5" x14ac:dyDescent="0.3">
      <c r="A509" s="1" t="s">
        <v>404</v>
      </c>
      <c r="B509" s="4">
        <v>22441.08</v>
      </c>
      <c r="C509" s="5">
        <v>115</v>
      </c>
      <c r="D509" s="6">
        <v>0.98296799999999995</v>
      </c>
      <c r="E509" s="6">
        <v>0.84035899999999997</v>
      </c>
    </row>
    <row r="510" spans="1:5" x14ac:dyDescent="0.3">
      <c r="A510" s="1" t="s">
        <v>758</v>
      </c>
      <c r="B510" s="4">
        <v>153377.63</v>
      </c>
      <c r="C510" s="5">
        <v>19</v>
      </c>
      <c r="D510" s="6">
        <v>0.95103400000000005</v>
      </c>
      <c r="E510" s="6">
        <v>1</v>
      </c>
    </row>
    <row r="511" spans="1:5" x14ac:dyDescent="0.3">
      <c r="A511" s="1" t="s">
        <v>467</v>
      </c>
      <c r="B511" s="4">
        <v>-55691.14</v>
      </c>
      <c r="C511" s="5">
        <v>50</v>
      </c>
      <c r="D511" s="6">
        <v>0.951461</v>
      </c>
      <c r="E511" s="6">
        <v>0.111424</v>
      </c>
    </row>
    <row r="512" spans="1:5" x14ac:dyDescent="0.3">
      <c r="A512" s="1" t="s">
        <v>1457</v>
      </c>
      <c r="B512" s="4">
        <v>-8006.59</v>
      </c>
      <c r="C512" s="5">
        <v>15</v>
      </c>
      <c r="D512" s="6">
        <v>1</v>
      </c>
      <c r="E512" s="6">
        <v>1</v>
      </c>
    </row>
    <row r="513" spans="1:5" x14ac:dyDescent="0.3">
      <c r="A513" s="1" t="s">
        <v>759</v>
      </c>
      <c r="B513" s="4">
        <v>-76556.56</v>
      </c>
      <c r="C513" s="5">
        <v>6</v>
      </c>
      <c r="D513" s="6">
        <v>0.99949399999999999</v>
      </c>
      <c r="E513" s="6">
        <v>1</v>
      </c>
    </row>
    <row r="514" spans="1:5" x14ac:dyDescent="0.3">
      <c r="A514" s="1" t="s">
        <v>1701</v>
      </c>
      <c r="B514" s="4">
        <v>-16194.83</v>
      </c>
      <c r="C514" s="5">
        <v>56</v>
      </c>
      <c r="D514" s="6">
        <v>0.97960899999999995</v>
      </c>
      <c r="E514" s="6">
        <v>1</v>
      </c>
    </row>
    <row r="515" spans="1:5" x14ac:dyDescent="0.3">
      <c r="A515" s="1" t="s">
        <v>1939</v>
      </c>
      <c r="B515" s="4">
        <v>54050.81</v>
      </c>
      <c r="C515" s="5">
        <v>56</v>
      </c>
      <c r="D515" s="6">
        <v>1</v>
      </c>
      <c r="E515" s="6">
        <v>0.70510700000000004</v>
      </c>
    </row>
    <row r="516" spans="1:5" x14ac:dyDescent="0.3">
      <c r="A516" s="1" t="s">
        <v>2054</v>
      </c>
      <c r="B516" s="4">
        <v>270544</v>
      </c>
      <c r="C516" s="5">
        <v>16</v>
      </c>
      <c r="D516" s="6" t="s">
        <v>1414</v>
      </c>
      <c r="E516" s="6" t="s">
        <v>1414</v>
      </c>
    </row>
    <row r="517" spans="1:5" x14ac:dyDescent="0.3">
      <c r="A517" s="1" t="s">
        <v>2055</v>
      </c>
      <c r="B517" s="4">
        <v>227574.33</v>
      </c>
      <c r="C517" s="5">
        <v>18</v>
      </c>
      <c r="D517" s="6" t="s">
        <v>1414</v>
      </c>
      <c r="E517" s="6" t="s">
        <v>1414</v>
      </c>
    </row>
    <row r="518" spans="1:5" x14ac:dyDescent="0.3">
      <c r="A518" s="1" t="s">
        <v>555</v>
      </c>
      <c r="B518" s="4">
        <v>-247178.47</v>
      </c>
      <c r="C518" s="5">
        <v>16</v>
      </c>
      <c r="D518" s="6">
        <v>0.980715</v>
      </c>
      <c r="E518" s="6">
        <v>0.45453300000000002</v>
      </c>
    </row>
    <row r="519" spans="1:5" x14ac:dyDescent="0.3">
      <c r="A519" s="1" t="s">
        <v>618</v>
      </c>
      <c r="B519" s="4">
        <v>-41961.919999999998</v>
      </c>
      <c r="C519" s="5">
        <v>43</v>
      </c>
      <c r="D519" s="6">
        <v>0.94104600000000005</v>
      </c>
      <c r="E519" s="6">
        <v>0.50145499999999998</v>
      </c>
    </row>
    <row r="520" spans="1:5" x14ac:dyDescent="0.3">
      <c r="A520" s="1" t="s">
        <v>243</v>
      </c>
      <c r="B520" s="4">
        <v>39084.550000000003</v>
      </c>
      <c r="C520" s="5">
        <v>18</v>
      </c>
      <c r="D520" s="6">
        <v>0.99537699999999996</v>
      </c>
      <c r="E520" s="6">
        <v>1</v>
      </c>
    </row>
    <row r="521" spans="1:5" x14ac:dyDescent="0.3">
      <c r="A521" s="1" t="s">
        <v>2056</v>
      </c>
      <c r="B521" s="4">
        <v>132365</v>
      </c>
      <c r="C521" s="5">
        <v>13</v>
      </c>
      <c r="D521" s="6" t="s">
        <v>1414</v>
      </c>
      <c r="E521" s="6" t="s">
        <v>1414</v>
      </c>
    </row>
    <row r="522" spans="1:5" x14ac:dyDescent="0.3">
      <c r="A522" s="1" t="s">
        <v>1458</v>
      </c>
      <c r="B522" s="4">
        <v>62075.65</v>
      </c>
      <c r="C522" s="5">
        <v>20</v>
      </c>
      <c r="D522" s="6">
        <v>0.99981600000000004</v>
      </c>
      <c r="E522" s="6">
        <v>1</v>
      </c>
    </row>
    <row r="523" spans="1:5" x14ac:dyDescent="0.3">
      <c r="A523" s="1" t="s">
        <v>842</v>
      </c>
      <c r="B523" s="4">
        <v>46645.51</v>
      </c>
      <c r="C523" s="5">
        <v>35</v>
      </c>
      <c r="D523" s="6">
        <v>0.99992899999999996</v>
      </c>
      <c r="E523" s="6">
        <v>0.89894399999999997</v>
      </c>
    </row>
    <row r="524" spans="1:5" x14ac:dyDescent="0.3">
      <c r="A524" s="1" t="s">
        <v>996</v>
      </c>
      <c r="B524" s="4">
        <v>57590.31</v>
      </c>
      <c r="C524" s="5">
        <v>23</v>
      </c>
      <c r="D524" s="6">
        <v>0.99327799999999999</v>
      </c>
      <c r="E524" s="6">
        <v>1</v>
      </c>
    </row>
    <row r="525" spans="1:5" x14ac:dyDescent="0.3">
      <c r="A525" s="1" t="s">
        <v>1459</v>
      </c>
      <c r="B525" s="4">
        <v>122307.78</v>
      </c>
      <c r="C525" s="5">
        <v>13</v>
      </c>
      <c r="D525" s="6">
        <v>1</v>
      </c>
      <c r="E525" s="6" t="s">
        <v>1414</v>
      </c>
    </row>
    <row r="526" spans="1:5" x14ac:dyDescent="0.3">
      <c r="A526" s="1" t="s">
        <v>556</v>
      </c>
      <c r="B526" s="4">
        <v>140989.16</v>
      </c>
      <c r="C526" s="5">
        <v>23</v>
      </c>
      <c r="D526" s="6">
        <v>1</v>
      </c>
      <c r="E526" s="6">
        <v>0.80160399999999998</v>
      </c>
    </row>
    <row r="527" spans="1:5" x14ac:dyDescent="0.3">
      <c r="A527" s="1" t="s">
        <v>244</v>
      </c>
      <c r="B527" s="4">
        <v>-27595.86</v>
      </c>
      <c r="C527" s="5">
        <v>23</v>
      </c>
      <c r="D527" s="6">
        <v>0.99945300000000004</v>
      </c>
      <c r="E527" s="6">
        <v>0.55725000000000002</v>
      </c>
    </row>
    <row r="528" spans="1:5" x14ac:dyDescent="0.3">
      <c r="A528" s="1" t="s">
        <v>1460</v>
      </c>
      <c r="B528" s="4">
        <v>-64682.610000000102</v>
      </c>
      <c r="C528" s="5">
        <v>12</v>
      </c>
      <c r="D528" s="6">
        <v>0.99829100000000004</v>
      </c>
      <c r="E528" s="6" t="s">
        <v>1414</v>
      </c>
    </row>
    <row r="529" spans="1:5" x14ac:dyDescent="0.3">
      <c r="A529" s="1" t="s">
        <v>93</v>
      </c>
      <c r="B529" s="4">
        <v>46448.55</v>
      </c>
      <c r="C529" s="5">
        <v>22</v>
      </c>
      <c r="D529" s="6">
        <v>1</v>
      </c>
      <c r="E529" s="6">
        <v>0.98427399999999998</v>
      </c>
    </row>
    <row r="530" spans="1:5" x14ac:dyDescent="0.3">
      <c r="A530" s="1" t="s">
        <v>1144</v>
      </c>
      <c r="B530" s="4">
        <v>-121216.83</v>
      </c>
      <c r="C530" s="5">
        <v>16</v>
      </c>
      <c r="D530" s="6">
        <v>0.964758</v>
      </c>
      <c r="E530" s="6">
        <v>0.61397299999999999</v>
      </c>
    </row>
    <row r="531" spans="1:5" x14ac:dyDescent="0.3">
      <c r="A531" s="1" t="s">
        <v>32</v>
      </c>
      <c r="B531" s="4">
        <v>43358.239999999998</v>
      </c>
      <c r="C531" s="5">
        <v>16</v>
      </c>
      <c r="D531" s="6">
        <v>0.96945499999999996</v>
      </c>
      <c r="E531" s="6">
        <v>0.57321999999999995</v>
      </c>
    </row>
    <row r="532" spans="1:5" x14ac:dyDescent="0.3">
      <c r="A532" s="1" t="s">
        <v>2057</v>
      </c>
      <c r="B532" s="4">
        <v>102150.83</v>
      </c>
      <c r="C532" s="5">
        <v>8</v>
      </c>
      <c r="D532" s="6">
        <v>0.99177300000000002</v>
      </c>
      <c r="E532" s="6">
        <v>1</v>
      </c>
    </row>
    <row r="533" spans="1:5" x14ac:dyDescent="0.3">
      <c r="A533" s="1" t="s">
        <v>1702</v>
      </c>
      <c r="B533" s="4">
        <v>33121.03</v>
      </c>
      <c r="C533" s="5">
        <v>13</v>
      </c>
      <c r="D533" s="6">
        <v>1</v>
      </c>
      <c r="E533" s="6">
        <v>1</v>
      </c>
    </row>
    <row r="534" spans="1:5" x14ac:dyDescent="0.3">
      <c r="A534" s="1" t="s">
        <v>33</v>
      </c>
      <c r="B534" s="4">
        <v>-49135.48</v>
      </c>
      <c r="C534" s="5">
        <v>12</v>
      </c>
      <c r="D534" s="6">
        <v>0.99069200000000002</v>
      </c>
      <c r="E534" s="6">
        <v>1</v>
      </c>
    </row>
    <row r="535" spans="1:5" x14ac:dyDescent="0.3">
      <c r="A535" s="1" t="s">
        <v>997</v>
      </c>
      <c r="B535" s="4">
        <v>-20882.099999999999</v>
      </c>
      <c r="C535" s="5">
        <v>16</v>
      </c>
      <c r="D535" s="6">
        <v>0.997838</v>
      </c>
      <c r="E535" s="6">
        <v>0.97760199999999997</v>
      </c>
    </row>
    <row r="536" spans="1:5" x14ac:dyDescent="0.3">
      <c r="A536" s="1" t="s">
        <v>922</v>
      </c>
      <c r="B536" s="4">
        <v>-252961.87</v>
      </c>
      <c r="C536" s="5">
        <v>20</v>
      </c>
      <c r="D536" s="6">
        <v>0.96900399999999998</v>
      </c>
      <c r="E536" s="6">
        <v>0.35887400000000003</v>
      </c>
    </row>
    <row r="537" spans="1:5" x14ac:dyDescent="0.3">
      <c r="A537" s="1" t="s">
        <v>1940</v>
      </c>
      <c r="B537" s="4">
        <v>47157.91</v>
      </c>
      <c r="C537" s="5">
        <v>16</v>
      </c>
      <c r="D537" s="6">
        <v>0.99550099999999997</v>
      </c>
      <c r="E537" s="6">
        <v>0.98031500000000005</v>
      </c>
    </row>
    <row r="538" spans="1:5" x14ac:dyDescent="0.3">
      <c r="A538" s="1" t="s">
        <v>245</v>
      </c>
      <c r="B538" s="4">
        <v>-13622.6</v>
      </c>
      <c r="C538" s="5">
        <v>29</v>
      </c>
      <c r="D538" s="6">
        <v>0.95679199999999998</v>
      </c>
      <c r="E538" s="6" t="s">
        <v>1414</v>
      </c>
    </row>
    <row r="539" spans="1:5" x14ac:dyDescent="0.3">
      <c r="A539" s="1" t="s">
        <v>34</v>
      </c>
      <c r="B539" s="4">
        <v>-14639.48</v>
      </c>
      <c r="C539" s="5">
        <v>15</v>
      </c>
      <c r="D539" s="6">
        <v>1</v>
      </c>
      <c r="E539" s="6">
        <v>1</v>
      </c>
    </row>
    <row r="540" spans="1:5" x14ac:dyDescent="0.3">
      <c r="A540" s="1" t="s">
        <v>1461</v>
      </c>
      <c r="B540" s="4">
        <v>39725.15</v>
      </c>
      <c r="C540" s="5">
        <v>11</v>
      </c>
      <c r="D540" s="6">
        <v>1</v>
      </c>
      <c r="E540" s="6" t="s">
        <v>1414</v>
      </c>
    </row>
    <row r="541" spans="1:5" x14ac:dyDescent="0.3">
      <c r="A541" s="1" t="s">
        <v>1941</v>
      </c>
      <c r="B541" s="4">
        <v>-205927.09</v>
      </c>
      <c r="C541" s="5">
        <v>4</v>
      </c>
      <c r="D541" s="6">
        <v>1</v>
      </c>
      <c r="E541" s="6">
        <v>1</v>
      </c>
    </row>
    <row r="542" spans="1:5" x14ac:dyDescent="0.3">
      <c r="A542" s="1" t="s">
        <v>2058</v>
      </c>
      <c r="B542" s="4">
        <v>38022.99</v>
      </c>
      <c r="C542" s="5">
        <v>9</v>
      </c>
      <c r="D542" s="6">
        <v>1</v>
      </c>
      <c r="E542" s="6" t="s">
        <v>1414</v>
      </c>
    </row>
    <row r="543" spans="1:5" x14ac:dyDescent="0.3">
      <c r="A543" s="1" t="s">
        <v>557</v>
      </c>
      <c r="B543" s="4">
        <v>72206.759999999995</v>
      </c>
      <c r="C543" s="5">
        <v>17</v>
      </c>
      <c r="D543" s="6">
        <v>0.99517299999999997</v>
      </c>
      <c r="E543" s="6">
        <v>0.97226900000000005</v>
      </c>
    </row>
    <row r="544" spans="1:5" x14ac:dyDescent="0.3">
      <c r="A544" s="1" t="s">
        <v>2059</v>
      </c>
      <c r="B544" s="4">
        <v>101477.73</v>
      </c>
      <c r="C544" s="5">
        <v>14</v>
      </c>
      <c r="D544" s="6">
        <v>1</v>
      </c>
      <c r="E544" s="6" t="s">
        <v>1414</v>
      </c>
    </row>
    <row r="545" spans="1:5" x14ac:dyDescent="0.3">
      <c r="A545" s="1" t="s">
        <v>1703</v>
      </c>
      <c r="B545" s="4">
        <v>-125293.53</v>
      </c>
      <c r="C545" s="5">
        <v>0</v>
      </c>
      <c r="D545" s="6">
        <v>0.96582599999999996</v>
      </c>
      <c r="E545" s="6">
        <v>0.72542899999999999</v>
      </c>
    </row>
    <row r="546" spans="1:5" x14ac:dyDescent="0.3">
      <c r="A546" s="1" t="s">
        <v>468</v>
      </c>
      <c r="B546" s="4">
        <v>32539.360000000001</v>
      </c>
      <c r="C546" s="5">
        <v>19</v>
      </c>
      <c r="D546" s="6">
        <v>1</v>
      </c>
      <c r="E546" s="6">
        <v>0.98752200000000001</v>
      </c>
    </row>
    <row r="547" spans="1:5" x14ac:dyDescent="0.3">
      <c r="A547" s="1" t="s">
        <v>322</v>
      </c>
      <c r="B547" s="4">
        <v>-61636.6</v>
      </c>
      <c r="C547" s="5">
        <v>63</v>
      </c>
      <c r="D547" s="6">
        <v>0.995008</v>
      </c>
      <c r="E547" s="6">
        <v>0.29163899999999998</v>
      </c>
    </row>
    <row r="548" spans="1:5" x14ac:dyDescent="0.3">
      <c r="A548" s="1" t="s">
        <v>1704</v>
      </c>
      <c r="B548" s="4">
        <v>45978.84</v>
      </c>
      <c r="C548" s="5">
        <v>8</v>
      </c>
      <c r="D548" s="6">
        <v>1</v>
      </c>
      <c r="E548" s="6" t="s">
        <v>1414</v>
      </c>
    </row>
    <row r="549" spans="1:5" x14ac:dyDescent="0.3">
      <c r="A549" s="1" t="s">
        <v>1705</v>
      </c>
      <c r="B549" s="4">
        <v>177058.19</v>
      </c>
      <c r="C549" s="5">
        <v>16</v>
      </c>
      <c r="D549" s="6">
        <v>0.995367</v>
      </c>
      <c r="E549" s="6">
        <v>1</v>
      </c>
    </row>
    <row r="550" spans="1:5" x14ac:dyDescent="0.3">
      <c r="A550" s="1" t="s">
        <v>469</v>
      </c>
      <c r="B550" s="4">
        <v>50244.12</v>
      </c>
      <c r="C550" s="5">
        <v>29</v>
      </c>
      <c r="D550" s="6">
        <v>1</v>
      </c>
      <c r="E550" s="6" t="s">
        <v>1414</v>
      </c>
    </row>
    <row r="551" spans="1:5" x14ac:dyDescent="0.3">
      <c r="A551" s="1" t="s">
        <v>94</v>
      </c>
      <c r="B551" s="4">
        <v>-144253.03</v>
      </c>
      <c r="C551" s="5">
        <v>6</v>
      </c>
      <c r="D551" s="6">
        <v>0.99741999999999997</v>
      </c>
      <c r="E551" s="6">
        <v>0.118996</v>
      </c>
    </row>
    <row r="552" spans="1:5" x14ac:dyDescent="0.3">
      <c r="A552" s="1" t="s">
        <v>695</v>
      </c>
      <c r="B552" s="4">
        <v>12346.98</v>
      </c>
      <c r="C552" s="5">
        <v>12</v>
      </c>
      <c r="D552" s="6">
        <v>0.96538800000000002</v>
      </c>
      <c r="E552" s="6">
        <v>0.77774100000000002</v>
      </c>
    </row>
    <row r="553" spans="1:5" x14ac:dyDescent="0.3">
      <c r="A553" s="1" t="s">
        <v>95</v>
      </c>
      <c r="B553" s="4">
        <v>128352.01</v>
      </c>
      <c r="C553" s="5">
        <v>19</v>
      </c>
      <c r="D553" s="6">
        <v>1</v>
      </c>
      <c r="E553" s="6" t="s">
        <v>1414</v>
      </c>
    </row>
    <row r="554" spans="1:5" x14ac:dyDescent="0.3">
      <c r="A554" s="1" t="s">
        <v>2060</v>
      </c>
      <c r="B554" s="4">
        <v>46012.03</v>
      </c>
      <c r="C554" s="5">
        <v>10</v>
      </c>
      <c r="D554" s="6">
        <v>1</v>
      </c>
      <c r="E554" s="6">
        <v>1</v>
      </c>
    </row>
    <row r="555" spans="1:5" x14ac:dyDescent="0.3">
      <c r="A555" s="1" t="s">
        <v>1072</v>
      </c>
      <c r="B555" s="4">
        <v>124736.8</v>
      </c>
      <c r="C555" s="5">
        <v>25</v>
      </c>
      <c r="D555" s="6">
        <v>0.99667799999999995</v>
      </c>
      <c r="E555" s="6">
        <v>0.84448299999999998</v>
      </c>
    </row>
    <row r="556" spans="1:5" x14ac:dyDescent="0.3">
      <c r="A556" s="1" t="s">
        <v>1706</v>
      </c>
      <c r="B556" s="4">
        <v>16498.75</v>
      </c>
      <c r="C556" s="5">
        <v>16</v>
      </c>
      <c r="D556" s="6">
        <v>0.94365600000000005</v>
      </c>
      <c r="E556" s="6">
        <v>1</v>
      </c>
    </row>
    <row r="557" spans="1:5" x14ac:dyDescent="0.3">
      <c r="A557" s="1" t="s">
        <v>619</v>
      </c>
      <c r="B557" s="4">
        <v>-266691.95</v>
      </c>
      <c r="C557" s="5">
        <v>6</v>
      </c>
      <c r="D557" s="6">
        <v>0.98376399999999997</v>
      </c>
      <c r="E557" s="6">
        <v>0.50268299999999999</v>
      </c>
    </row>
    <row r="558" spans="1:5" x14ac:dyDescent="0.3">
      <c r="A558" s="1" t="s">
        <v>998</v>
      </c>
      <c r="B558" s="4">
        <v>94659.94</v>
      </c>
      <c r="C558" s="5">
        <v>20</v>
      </c>
      <c r="D558" s="6">
        <v>1</v>
      </c>
      <c r="E558" s="6" t="s">
        <v>1414</v>
      </c>
    </row>
    <row r="559" spans="1:5" x14ac:dyDescent="0.3">
      <c r="A559" s="1" t="s">
        <v>843</v>
      </c>
      <c r="B559" s="4">
        <v>25312.75</v>
      </c>
      <c r="C559" s="5">
        <v>15</v>
      </c>
      <c r="D559" s="6">
        <v>0.996923</v>
      </c>
      <c r="E559" s="6">
        <v>0.55139800000000005</v>
      </c>
    </row>
    <row r="560" spans="1:5" x14ac:dyDescent="0.3">
      <c r="A560" s="1" t="s">
        <v>620</v>
      </c>
      <c r="B560" s="4">
        <v>30893.53</v>
      </c>
      <c r="C560" s="5">
        <v>15</v>
      </c>
      <c r="D560" s="6">
        <v>0.99253899999999995</v>
      </c>
      <c r="E560" s="6">
        <v>0.93924200000000002</v>
      </c>
    </row>
    <row r="561" spans="1:5" x14ac:dyDescent="0.3">
      <c r="A561" s="1" t="s">
        <v>470</v>
      </c>
      <c r="B561" s="4">
        <v>63792.37</v>
      </c>
      <c r="C561" s="5">
        <v>20</v>
      </c>
      <c r="D561" s="6">
        <v>1</v>
      </c>
      <c r="E561" s="6">
        <v>0.88850499999999999</v>
      </c>
    </row>
    <row r="562" spans="1:5" x14ac:dyDescent="0.3">
      <c r="A562" s="1" t="s">
        <v>1707</v>
      </c>
      <c r="B562" s="4">
        <v>-11334.11</v>
      </c>
      <c r="C562" s="5">
        <v>32</v>
      </c>
      <c r="D562" s="6">
        <v>1</v>
      </c>
      <c r="E562" s="6" t="s">
        <v>1414</v>
      </c>
    </row>
    <row r="563" spans="1:5" x14ac:dyDescent="0.3">
      <c r="A563" s="7" t="s">
        <v>471</v>
      </c>
      <c r="B563" s="8">
        <v>76006.63</v>
      </c>
      <c r="C563" s="9">
        <v>14</v>
      </c>
      <c r="D563" s="10">
        <v>1</v>
      </c>
      <c r="E563" s="10" t="s">
        <v>1414</v>
      </c>
    </row>
    <row r="564" spans="1:5" x14ac:dyDescent="0.3">
      <c r="A564" s="1" t="s">
        <v>246</v>
      </c>
      <c r="B564" s="4">
        <v>21496.82</v>
      </c>
      <c r="C564" s="5">
        <v>19</v>
      </c>
      <c r="D564" s="6">
        <v>0.992506</v>
      </c>
      <c r="E564" s="6">
        <v>1</v>
      </c>
    </row>
    <row r="565" spans="1:5" x14ac:dyDescent="0.3">
      <c r="A565" s="1" t="s">
        <v>1462</v>
      </c>
      <c r="B565" s="4">
        <v>-3857.53</v>
      </c>
      <c r="C565" s="5">
        <v>66</v>
      </c>
      <c r="D565" s="6">
        <v>0.98487199999999997</v>
      </c>
      <c r="E565" s="6">
        <v>0.65793500000000005</v>
      </c>
    </row>
    <row r="566" spans="1:5" x14ac:dyDescent="0.3">
      <c r="A566" s="1" t="s">
        <v>558</v>
      </c>
      <c r="B566" s="4">
        <v>-309886.78000000003</v>
      </c>
      <c r="C566" s="5">
        <v>0</v>
      </c>
      <c r="D566" s="6">
        <v>0.99931199999999998</v>
      </c>
      <c r="E566" s="6">
        <v>0.38398100000000002</v>
      </c>
    </row>
    <row r="567" spans="1:5" x14ac:dyDescent="0.3">
      <c r="A567" s="1" t="s">
        <v>621</v>
      </c>
      <c r="B567" s="4">
        <v>60672.85</v>
      </c>
      <c r="C567" s="5">
        <v>21</v>
      </c>
      <c r="D567" s="6">
        <v>1</v>
      </c>
      <c r="E567" s="6">
        <v>1</v>
      </c>
    </row>
    <row r="568" spans="1:5" x14ac:dyDescent="0.3">
      <c r="A568" s="1" t="s">
        <v>1708</v>
      </c>
      <c r="B568" s="4">
        <v>-85086.2</v>
      </c>
      <c r="C568" s="5">
        <v>1</v>
      </c>
      <c r="D568" s="6">
        <v>0.95591499999999996</v>
      </c>
      <c r="E568" s="6">
        <v>1</v>
      </c>
    </row>
    <row r="569" spans="1:5" x14ac:dyDescent="0.3">
      <c r="A569" s="1" t="s">
        <v>1942</v>
      </c>
      <c r="B569" s="4">
        <v>69435.28</v>
      </c>
      <c r="C569" s="5">
        <v>62</v>
      </c>
      <c r="D569" s="6">
        <v>1</v>
      </c>
      <c r="E569" s="6" t="s">
        <v>1414</v>
      </c>
    </row>
    <row r="570" spans="1:5" x14ac:dyDescent="0.3">
      <c r="A570" s="1" t="s">
        <v>96</v>
      </c>
      <c r="B570" s="4">
        <v>43064.12</v>
      </c>
      <c r="C570" s="5">
        <v>59</v>
      </c>
      <c r="D570" s="6">
        <v>0.98691099999999998</v>
      </c>
      <c r="E570" s="6">
        <v>0.66588700000000001</v>
      </c>
    </row>
    <row r="571" spans="1:5" x14ac:dyDescent="0.3">
      <c r="A571" s="1" t="s">
        <v>1709</v>
      </c>
      <c r="B571" s="4">
        <v>-5055.79000000001</v>
      </c>
      <c r="C571" s="5">
        <v>4</v>
      </c>
      <c r="D571" s="6">
        <v>1</v>
      </c>
      <c r="E571" s="6" t="s">
        <v>1414</v>
      </c>
    </row>
    <row r="572" spans="1:5" x14ac:dyDescent="0.3">
      <c r="A572" s="1" t="s">
        <v>1463</v>
      </c>
      <c r="B572" s="4">
        <v>26421.5</v>
      </c>
      <c r="C572" s="5">
        <v>14</v>
      </c>
      <c r="D572" s="6">
        <v>0.96305499999999999</v>
      </c>
      <c r="E572" s="6">
        <v>0.86765099999999995</v>
      </c>
    </row>
    <row r="573" spans="1:5" x14ac:dyDescent="0.3">
      <c r="A573" s="1" t="s">
        <v>1464</v>
      </c>
      <c r="B573" s="4">
        <v>-12797.57</v>
      </c>
      <c r="C573" s="5">
        <v>17</v>
      </c>
      <c r="D573" s="6">
        <v>1</v>
      </c>
      <c r="E573" s="6" t="s">
        <v>1414</v>
      </c>
    </row>
    <row r="574" spans="1:5" x14ac:dyDescent="0.3">
      <c r="A574" s="1" t="s">
        <v>1465</v>
      </c>
      <c r="B574" s="4">
        <v>36103.31</v>
      </c>
      <c r="C574" s="5">
        <v>92</v>
      </c>
      <c r="D574" s="6">
        <v>0.99628300000000003</v>
      </c>
      <c r="E574" s="6">
        <v>1</v>
      </c>
    </row>
    <row r="575" spans="1:5" x14ac:dyDescent="0.3">
      <c r="A575" s="1" t="s">
        <v>2061</v>
      </c>
      <c r="B575" s="4">
        <v>185440</v>
      </c>
      <c r="C575" s="5">
        <v>9</v>
      </c>
      <c r="D575" s="6" t="s">
        <v>1414</v>
      </c>
      <c r="E575" s="6" t="s">
        <v>1414</v>
      </c>
    </row>
    <row r="576" spans="1:5" x14ac:dyDescent="0.3">
      <c r="A576" s="1" t="s">
        <v>2062</v>
      </c>
      <c r="B576" s="4">
        <v>16100</v>
      </c>
      <c r="C576" s="5">
        <v>8</v>
      </c>
      <c r="D576" s="6" t="s">
        <v>1414</v>
      </c>
      <c r="E576" s="6" t="s">
        <v>1414</v>
      </c>
    </row>
    <row r="577" spans="1:5" x14ac:dyDescent="0.3">
      <c r="A577" s="1" t="s">
        <v>1145</v>
      </c>
      <c r="B577" s="4">
        <v>0</v>
      </c>
      <c r="C577" s="5">
        <v>0</v>
      </c>
      <c r="D577" s="6" t="s">
        <v>1414</v>
      </c>
      <c r="E577" s="6" t="s">
        <v>1414</v>
      </c>
    </row>
    <row r="578" spans="1:5" x14ac:dyDescent="0.3">
      <c r="A578" s="1" t="s">
        <v>323</v>
      </c>
      <c r="B578" s="4">
        <v>-50817.22</v>
      </c>
      <c r="C578" s="5">
        <v>19</v>
      </c>
      <c r="D578" s="6">
        <v>0.99630700000000005</v>
      </c>
      <c r="E578" s="6">
        <v>0.95386400000000005</v>
      </c>
    </row>
    <row r="579" spans="1:5" x14ac:dyDescent="0.3">
      <c r="A579" s="1" t="s">
        <v>923</v>
      </c>
      <c r="B579" s="4">
        <v>0</v>
      </c>
      <c r="C579" s="5">
        <v>0</v>
      </c>
      <c r="D579" s="6" t="s">
        <v>1414</v>
      </c>
      <c r="E579" s="6" t="s">
        <v>1414</v>
      </c>
    </row>
    <row r="580" spans="1:5" x14ac:dyDescent="0.3">
      <c r="A580" s="1" t="s">
        <v>405</v>
      </c>
      <c r="B580" s="4">
        <v>90330.99</v>
      </c>
      <c r="C580" s="5">
        <v>27</v>
      </c>
      <c r="D580" s="6">
        <v>0.99974700000000005</v>
      </c>
      <c r="E580" s="6" t="s">
        <v>1414</v>
      </c>
    </row>
    <row r="581" spans="1:5" x14ac:dyDescent="0.3">
      <c r="A581" s="1" t="s">
        <v>1073</v>
      </c>
      <c r="B581" s="4">
        <v>98856.57</v>
      </c>
      <c r="C581" s="5">
        <v>22</v>
      </c>
      <c r="D581" s="6">
        <v>0.99966999999999995</v>
      </c>
      <c r="E581" s="6">
        <v>0.83934900000000001</v>
      </c>
    </row>
    <row r="582" spans="1:5" x14ac:dyDescent="0.3">
      <c r="A582" s="1" t="s">
        <v>324</v>
      </c>
      <c r="B582" s="4">
        <v>181593.75</v>
      </c>
      <c r="C582" s="5">
        <v>20</v>
      </c>
      <c r="D582" s="6">
        <v>1</v>
      </c>
      <c r="E582" s="6">
        <v>1</v>
      </c>
    </row>
    <row r="583" spans="1:5" x14ac:dyDescent="0.3">
      <c r="A583" s="1" t="s">
        <v>1943</v>
      </c>
      <c r="B583" s="4">
        <v>146791.64000000001</v>
      </c>
      <c r="C583" s="5">
        <v>15</v>
      </c>
      <c r="D583" s="6">
        <v>1</v>
      </c>
      <c r="E583" s="6">
        <v>0.89338600000000001</v>
      </c>
    </row>
    <row r="584" spans="1:5" x14ac:dyDescent="0.3">
      <c r="A584" s="1" t="s">
        <v>760</v>
      </c>
      <c r="B584" s="4">
        <v>-99653.49</v>
      </c>
      <c r="C584" s="5">
        <v>4</v>
      </c>
      <c r="D584" s="6">
        <v>0.99180599999999997</v>
      </c>
      <c r="E584" s="6">
        <v>0.88087700000000002</v>
      </c>
    </row>
    <row r="585" spans="1:5" x14ac:dyDescent="0.3">
      <c r="A585" s="1" t="s">
        <v>247</v>
      </c>
      <c r="B585" s="4">
        <v>122178.21</v>
      </c>
      <c r="C585" s="5">
        <v>28</v>
      </c>
      <c r="D585" s="6">
        <v>0.99313399999999996</v>
      </c>
      <c r="E585" s="6">
        <v>0.86785299999999999</v>
      </c>
    </row>
    <row r="586" spans="1:5" x14ac:dyDescent="0.3">
      <c r="A586" s="1" t="s">
        <v>2063</v>
      </c>
      <c r="B586" s="4">
        <v>53745</v>
      </c>
      <c r="C586" s="5">
        <v>15</v>
      </c>
      <c r="D586" s="6" t="s">
        <v>1414</v>
      </c>
      <c r="E586" s="6" t="s">
        <v>1414</v>
      </c>
    </row>
    <row r="587" spans="1:5" x14ac:dyDescent="0.3">
      <c r="A587" s="1" t="s">
        <v>1710</v>
      </c>
      <c r="B587" s="4">
        <v>-41335.22</v>
      </c>
      <c r="C587" s="5">
        <v>0</v>
      </c>
      <c r="D587" s="6">
        <v>0.96823300000000001</v>
      </c>
      <c r="E587" s="6">
        <v>0.25119000000000002</v>
      </c>
    </row>
    <row r="588" spans="1:5" x14ac:dyDescent="0.3">
      <c r="A588" s="1" t="s">
        <v>1466</v>
      </c>
      <c r="B588" s="4">
        <v>63653.27</v>
      </c>
      <c r="C588" s="5">
        <v>17</v>
      </c>
      <c r="D588" s="6">
        <v>0.997166</v>
      </c>
      <c r="E588" s="6" t="s">
        <v>1414</v>
      </c>
    </row>
    <row r="589" spans="1:5" x14ac:dyDescent="0.3">
      <c r="A589" s="1" t="s">
        <v>35</v>
      </c>
      <c r="B589" s="4">
        <v>-89598.6</v>
      </c>
      <c r="C589" s="5">
        <v>11</v>
      </c>
      <c r="D589" s="6">
        <v>0.99589399999999995</v>
      </c>
      <c r="E589" s="6" t="s">
        <v>1414</v>
      </c>
    </row>
    <row r="590" spans="1:5" x14ac:dyDescent="0.3">
      <c r="A590" s="1" t="s">
        <v>1467</v>
      </c>
      <c r="B590" s="4">
        <v>-525303.31000000006</v>
      </c>
      <c r="C590" s="5">
        <v>4</v>
      </c>
      <c r="D590" s="6">
        <v>1</v>
      </c>
      <c r="E590" s="6">
        <v>0.58986400000000005</v>
      </c>
    </row>
    <row r="591" spans="1:5" x14ac:dyDescent="0.3">
      <c r="A591" s="1" t="s">
        <v>2064</v>
      </c>
      <c r="B591" s="4">
        <v>40012.559999999998</v>
      </c>
      <c r="C591" s="5">
        <v>14</v>
      </c>
      <c r="D591" s="6">
        <v>1</v>
      </c>
      <c r="E591" s="6">
        <v>1</v>
      </c>
    </row>
    <row r="592" spans="1:5" x14ac:dyDescent="0.3">
      <c r="A592" s="1" t="s">
        <v>924</v>
      </c>
      <c r="B592" s="4">
        <v>120438.41</v>
      </c>
      <c r="C592" s="5">
        <v>32</v>
      </c>
      <c r="D592" s="6">
        <v>0.994861</v>
      </c>
      <c r="E592" s="6">
        <v>0.95651299999999995</v>
      </c>
    </row>
    <row r="593" spans="1:5" x14ac:dyDescent="0.3">
      <c r="A593" s="1" t="s">
        <v>1944</v>
      </c>
      <c r="B593" s="4">
        <v>38743.64</v>
      </c>
      <c r="C593" s="5">
        <v>9</v>
      </c>
      <c r="D593" s="6">
        <v>1</v>
      </c>
      <c r="E593" s="6" t="s">
        <v>1414</v>
      </c>
    </row>
    <row r="594" spans="1:5" x14ac:dyDescent="0.3">
      <c r="A594" s="1" t="s">
        <v>1468</v>
      </c>
      <c r="B594" s="4">
        <v>61322.49</v>
      </c>
      <c r="C594" s="5">
        <v>16</v>
      </c>
      <c r="D594" s="6">
        <v>1</v>
      </c>
      <c r="E594" s="6" t="s">
        <v>1414</v>
      </c>
    </row>
    <row r="595" spans="1:5" x14ac:dyDescent="0.3">
      <c r="A595" s="1" t="s">
        <v>2065</v>
      </c>
      <c r="B595" s="4">
        <v>61047</v>
      </c>
      <c r="C595" s="5">
        <v>15</v>
      </c>
      <c r="D595" s="6" t="s">
        <v>1414</v>
      </c>
      <c r="E595" s="6" t="s">
        <v>1414</v>
      </c>
    </row>
    <row r="596" spans="1:5" x14ac:dyDescent="0.3">
      <c r="A596" s="1" t="s">
        <v>622</v>
      </c>
      <c r="B596" s="4">
        <v>-28458.86</v>
      </c>
      <c r="C596" s="5">
        <v>18</v>
      </c>
      <c r="D596" s="6">
        <v>0.994672</v>
      </c>
      <c r="E596" s="6">
        <v>0.14199600000000001</v>
      </c>
    </row>
    <row r="597" spans="1:5" x14ac:dyDescent="0.3">
      <c r="A597" s="1" t="s">
        <v>2066</v>
      </c>
      <c r="B597" s="4">
        <v>9083.44</v>
      </c>
      <c r="C597" s="5">
        <v>3</v>
      </c>
      <c r="D597" s="6">
        <v>1</v>
      </c>
      <c r="E597" s="6" t="s">
        <v>1414</v>
      </c>
    </row>
    <row r="598" spans="1:5" x14ac:dyDescent="0.3">
      <c r="A598" s="1" t="s">
        <v>761</v>
      </c>
      <c r="B598" s="4">
        <v>97054.62</v>
      </c>
      <c r="C598" s="5">
        <v>25</v>
      </c>
      <c r="D598" s="6">
        <v>0.99728000000000006</v>
      </c>
      <c r="E598" s="6">
        <v>1</v>
      </c>
    </row>
    <row r="599" spans="1:5" x14ac:dyDescent="0.3">
      <c r="A599" s="1" t="s">
        <v>406</v>
      </c>
      <c r="B599" s="4">
        <v>157598.48000000001</v>
      </c>
      <c r="C599" s="5">
        <v>20</v>
      </c>
      <c r="D599" s="6">
        <v>0.99787800000000004</v>
      </c>
      <c r="E599" s="6">
        <v>1</v>
      </c>
    </row>
    <row r="600" spans="1:5" x14ac:dyDescent="0.3">
      <c r="A600" s="1" t="s">
        <v>925</v>
      </c>
      <c r="B600" s="4">
        <v>23101.87</v>
      </c>
      <c r="C600" s="5">
        <v>23</v>
      </c>
      <c r="D600" s="6">
        <v>0.99309199999999997</v>
      </c>
      <c r="E600" s="6">
        <v>0.86112500000000003</v>
      </c>
    </row>
    <row r="601" spans="1:5" x14ac:dyDescent="0.3">
      <c r="A601" s="1" t="s">
        <v>1146</v>
      </c>
      <c r="B601" s="4">
        <v>112378.81</v>
      </c>
      <c r="C601" s="5">
        <v>31</v>
      </c>
      <c r="D601" s="6">
        <v>1</v>
      </c>
      <c r="E601" s="6">
        <v>1</v>
      </c>
    </row>
    <row r="602" spans="1:5" x14ac:dyDescent="0.3">
      <c r="A602" s="1" t="s">
        <v>623</v>
      </c>
      <c r="B602" s="4">
        <v>25569.79</v>
      </c>
      <c r="C602" s="5">
        <v>62</v>
      </c>
      <c r="D602" s="6">
        <v>0.97806499999999996</v>
      </c>
      <c r="E602" s="6">
        <v>0.77805400000000002</v>
      </c>
    </row>
    <row r="603" spans="1:5" x14ac:dyDescent="0.3">
      <c r="A603" s="1" t="s">
        <v>1711</v>
      </c>
      <c r="B603" s="4">
        <v>-23569.18</v>
      </c>
      <c r="C603" s="5">
        <v>0</v>
      </c>
      <c r="D603" s="6">
        <v>1</v>
      </c>
      <c r="E603" s="6" t="s">
        <v>1414</v>
      </c>
    </row>
    <row r="604" spans="1:5" x14ac:dyDescent="0.3">
      <c r="A604" s="1" t="s">
        <v>696</v>
      </c>
      <c r="B604" s="4">
        <v>-115486.1</v>
      </c>
      <c r="C604" s="5">
        <v>25</v>
      </c>
      <c r="D604" s="6">
        <v>0.97538100000000005</v>
      </c>
      <c r="E604" s="6">
        <v>0.33363500000000001</v>
      </c>
    </row>
    <row r="605" spans="1:5" x14ac:dyDescent="0.3">
      <c r="A605" s="1" t="s">
        <v>472</v>
      </c>
      <c r="B605" s="4">
        <v>102226.14</v>
      </c>
      <c r="C605" s="5">
        <v>27</v>
      </c>
      <c r="D605" s="6">
        <v>1</v>
      </c>
      <c r="E605" s="6">
        <v>0.80769500000000005</v>
      </c>
    </row>
    <row r="606" spans="1:5" x14ac:dyDescent="0.3">
      <c r="A606" s="1" t="s">
        <v>36</v>
      </c>
      <c r="B606" s="4">
        <v>-181922.06</v>
      </c>
      <c r="C606" s="5">
        <v>11</v>
      </c>
      <c r="D606" s="6">
        <v>1</v>
      </c>
      <c r="E606" s="6">
        <v>0.97082000000000002</v>
      </c>
    </row>
    <row r="607" spans="1:5" x14ac:dyDescent="0.3">
      <c r="A607" s="1" t="s">
        <v>1074</v>
      </c>
      <c r="B607" s="4">
        <v>29556.22</v>
      </c>
      <c r="C607" s="5">
        <v>27</v>
      </c>
      <c r="D607" s="6">
        <v>0.99493399999999999</v>
      </c>
      <c r="E607" s="6">
        <v>0.86510100000000001</v>
      </c>
    </row>
    <row r="608" spans="1:5" x14ac:dyDescent="0.3">
      <c r="A608" s="1" t="s">
        <v>1712</v>
      </c>
      <c r="B608" s="4">
        <v>-60822.03</v>
      </c>
      <c r="C608" s="5">
        <v>12</v>
      </c>
      <c r="D608" s="6">
        <v>1</v>
      </c>
      <c r="E608" s="6" t="s">
        <v>1414</v>
      </c>
    </row>
    <row r="609" spans="1:5" x14ac:dyDescent="0.3">
      <c r="A609" s="1" t="s">
        <v>407</v>
      </c>
      <c r="B609" s="4">
        <v>-36678.219999999703</v>
      </c>
      <c r="C609" s="5">
        <v>14</v>
      </c>
      <c r="D609" s="6">
        <v>0.996838</v>
      </c>
      <c r="E609" s="6">
        <v>0.56284100000000004</v>
      </c>
    </row>
    <row r="610" spans="1:5" x14ac:dyDescent="0.3">
      <c r="A610" s="1" t="s">
        <v>762</v>
      </c>
      <c r="B610" s="4">
        <v>41323.89</v>
      </c>
      <c r="C610" s="5">
        <v>20</v>
      </c>
      <c r="D610" s="6">
        <v>0.99907699999999999</v>
      </c>
      <c r="E610" s="6">
        <v>1</v>
      </c>
    </row>
    <row r="611" spans="1:5" x14ac:dyDescent="0.3">
      <c r="A611" s="1" t="s">
        <v>999</v>
      </c>
      <c r="B611" s="4">
        <v>-169719.65</v>
      </c>
      <c r="C611" s="5">
        <v>12</v>
      </c>
      <c r="D611" s="6">
        <v>0.99182499999999996</v>
      </c>
      <c r="E611" s="6">
        <v>0.574681</v>
      </c>
    </row>
    <row r="612" spans="1:5" x14ac:dyDescent="0.3">
      <c r="A612" s="1" t="s">
        <v>1147</v>
      </c>
      <c r="B612" s="4">
        <v>141163.07</v>
      </c>
      <c r="C612" s="5">
        <v>13</v>
      </c>
      <c r="D612" s="6">
        <v>0.98883900000000002</v>
      </c>
      <c r="E612" s="6">
        <v>0.29772700000000002</v>
      </c>
    </row>
    <row r="613" spans="1:5" x14ac:dyDescent="0.3">
      <c r="A613" s="1" t="s">
        <v>2067</v>
      </c>
      <c r="B613" s="4">
        <v>112040</v>
      </c>
      <c r="C613" s="5">
        <v>7</v>
      </c>
      <c r="D613" s="6" t="s">
        <v>1414</v>
      </c>
      <c r="E613" s="6" t="s">
        <v>1414</v>
      </c>
    </row>
    <row r="614" spans="1:5" x14ac:dyDescent="0.3">
      <c r="A614" s="1" t="s">
        <v>97</v>
      </c>
      <c r="B614" s="4">
        <v>192676.87</v>
      </c>
      <c r="C614" s="5">
        <v>24</v>
      </c>
      <c r="D614" s="6">
        <v>0.99333499999999997</v>
      </c>
      <c r="E614" s="6">
        <v>0.88927900000000004</v>
      </c>
    </row>
    <row r="615" spans="1:5" x14ac:dyDescent="0.3">
      <c r="A615" s="1" t="s">
        <v>1469</v>
      </c>
      <c r="B615" s="4">
        <v>115810.69</v>
      </c>
      <c r="C615" s="5">
        <v>15</v>
      </c>
      <c r="D615" s="6">
        <v>1</v>
      </c>
      <c r="E615" s="6">
        <v>0.82095700000000005</v>
      </c>
    </row>
    <row r="616" spans="1:5" x14ac:dyDescent="0.3">
      <c r="A616" s="1" t="s">
        <v>1945</v>
      </c>
      <c r="B616" s="4">
        <v>129879.39</v>
      </c>
      <c r="C616" s="5">
        <v>15</v>
      </c>
      <c r="D616" s="6">
        <v>0.933616</v>
      </c>
      <c r="E616" s="6">
        <v>1</v>
      </c>
    </row>
    <row r="617" spans="1:5" x14ac:dyDescent="0.3">
      <c r="A617" s="1" t="s">
        <v>2068</v>
      </c>
      <c r="B617" s="4">
        <v>100030</v>
      </c>
      <c r="C617" s="5">
        <v>11</v>
      </c>
      <c r="D617" s="6" t="s">
        <v>1414</v>
      </c>
      <c r="E617" s="6" t="s">
        <v>1414</v>
      </c>
    </row>
    <row r="618" spans="1:5" x14ac:dyDescent="0.3">
      <c r="A618" s="1" t="s">
        <v>926</v>
      </c>
      <c r="B618" s="4">
        <v>220348.85</v>
      </c>
      <c r="C618" s="5">
        <v>26</v>
      </c>
      <c r="D618" s="6">
        <v>0.988591</v>
      </c>
      <c r="E618" s="6">
        <v>0.99288900000000002</v>
      </c>
    </row>
    <row r="619" spans="1:5" x14ac:dyDescent="0.3">
      <c r="A619" s="1" t="s">
        <v>408</v>
      </c>
      <c r="B619" s="4">
        <v>7671.15</v>
      </c>
      <c r="C619" s="5">
        <v>8</v>
      </c>
      <c r="D619" s="6">
        <v>0.99886900000000001</v>
      </c>
      <c r="E619" s="6" t="s">
        <v>1414</v>
      </c>
    </row>
    <row r="620" spans="1:5" x14ac:dyDescent="0.3">
      <c r="A620" s="1" t="s">
        <v>325</v>
      </c>
      <c r="B620" s="4">
        <v>-51773.440000000002</v>
      </c>
      <c r="C620" s="5">
        <v>14</v>
      </c>
      <c r="D620" s="6">
        <v>0.96209699999999998</v>
      </c>
      <c r="E620" s="6">
        <v>1</v>
      </c>
    </row>
    <row r="621" spans="1:5" x14ac:dyDescent="0.3">
      <c r="A621" s="1" t="s">
        <v>763</v>
      </c>
      <c r="B621" s="4">
        <v>-28339.68</v>
      </c>
      <c r="C621" s="5">
        <v>14</v>
      </c>
      <c r="D621" s="6">
        <v>0.978155</v>
      </c>
      <c r="E621" s="6">
        <v>0.60612999999999995</v>
      </c>
    </row>
    <row r="622" spans="1:5" x14ac:dyDescent="0.3">
      <c r="A622" s="1" t="s">
        <v>844</v>
      </c>
      <c r="B622" s="4">
        <v>23768.76</v>
      </c>
      <c r="C622" s="5">
        <v>14</v>
      </c>
      <c r="D622" s="6">
        <v>0.98656699999999997</v>
      </c>
      <c r="E622" s="6">
        <v>0</v>
      </c>
    </row>
    <row r="623" spans="1:5" x14ac:dyDescent="0.3">
      <c r="A623" s="1" t="s">
        <v>2069</v>
      </c>
      <c r="B623" s="4">
        <v>-114352.47</v>
      </c>
      <c r="C623" s="5">
        <v>11</v>
      </c>
      <c r="D623" s="6">
        <v>0.97090299999999996</v>
      </c>
      <c r="E623" s="6">
        <v>0.97952799999999995</v>
      </c>
    </row>
    <row r="624" spans="1:5" x14ac:dyDescent="0.3">
      <c r="A624" s="1" t="s">
        <v>409</v>
      </c>
      <c r="B624" s="4">
        <v>-58402.07</v>
      </c>
      <c r="C624" s="5">
        <v>14</v>
      </c>
      <c r="D624" s="6">
        <v>0.90183999999999997</v>
      </c>
      <c r="E624" s="6">
        <v>0.77559900000000004</v>
      </c>
    </row>
    <row r="625" spans="1:5" x14ac:dyDescent="0.3">
      <c r="A625" s="1" t="s">
        <v>2070</v>
      </c>
      <c r="B625" s="4">
        <v>62327.27</v>
      </c>
      <c r="C625" s="5">
        <v>12</v>
      </c>
      <c r="D625" s="6" t="s">
        <v>1414</v>
      </c>
      <c r="E625" s="6" t="s">
        <v>1414</v>
      </c>
    </row>
    <row r="626" spans="1:5" x14ac:dyDescent="0.3">
      <c r="A626" s="1" t="s">
        <v>927</v>
      </c>
      <c r="B626" s="4">
        <v>-78976.820000000007</v>
      </c>
      <c r="C626" s="5">
        <v>24</v>
      </c>
      <c r="D626" s="6">
        <v>0.99968100000000004</v>
      </c>
      <c r="E626" s="6">
        <v>0</v>
      </c>
    </row>
    <row r="627" spans="1:5" x14ac:dyDescent="0.3">
      <c r="A627" s="1" t="s">
        <v>697</v>
      </c>
      <c r="B627" s="4">
        <v>51735.57</v>
      </c>
      <c r="C627" s="5">
        <v>22</v>
      </c>
      <c r="D627" s="6">
        <v>0.998865</v>
      </c>
      <c r="E627" s="6">
        <v>1</v>
      </c>
    </row>
    <row r="628" spans="1:5" x14ac:dyDescent="0.3">
      <c r="A628" s="1" t="s">
        <v>698</v>
      </c>
      <c r="B628" s="4">
        <v>32901.279999999999</v>
      </c>
      <c r="C628" s="5">
        <v>17</v>
      </c>
      <c r="D628" s="6">
        <v>0.99836999999999998</v>
      </c>
      <c r="E628" s="6">
        <v>0.980908</v>
      </c>
    </row>
    <row r="629" spans="1:5" x14ac:dyDescent="0.3">
      <c r="A629" s="1" t="s">
        <v>1470</v>
      </c>
      <c r="B629" s="4">
        <v>26466.23</v>
      </c>
      <c r="C629" s="5">
        <v>21</v>
      </c>
      <c r="D629" s="6">
        <v>1</v>
      </c>
      <c r="E629" s="6" t="s">
        <v>1414</v>
      </c>
    </row>
    <row r="630" spans="1:5" x14ac:dyDescent="0.3">
      <c r="A630" s="1" t="s">
        <v>764</v>
      </c>
      <c r="B630" s="4">
        <v>-67459.02</v>
      </c>
      <c r="C630" s="5">
        <v>13</v>
      </c>
      <c r="D630" s="6">
        <v>0.99718899999999999</v>
      </c>
      <c r="E630" s="6">
        <v>0.31440099999999999</v>
      </c>
    </row>
    <row r="631" spans="1:5" x14ac:dyDescent="0.3">
      <c r="A631" s="1" t="s">
        <v>2071</v>
      </c>
      <c r="B631" s="4">
        <v>0</v>
      </c>
      <c r="C631" s="5">
        <v>0</v>
      </c>
      <c r="D631" s="6" t="s">
        <v>1414</v>
      </c>
      <c r="E631" s="6" t="s">
        <v>1414</v>
      </c>
    </row>
    <row r="632" spans="1:5" x14ac:dyDescent="0.3">
      <c r="A632" s="1" t="s">
        <v>1000</v>
      </c>
      <c r="B632" s="4">
        <v>71736.429999999993</v>
      </c>
      <c r="C632" s="5">
        <v>16</v>
      </c>
      <c r="D632" s="6">
        <v>1</v>
      </c>
      <c r="E632" s="6">
        <v>0.99251400000000001</v>
      </c>
    </row>
    <row r="633" spans="1:5" x14ac:dyDescent="0.3">
      <c r="A633" s="1" t="s">
        <v>410</v>
      </c>
      <c r="B633" s="4">
        <v>209959.99</v>
      </c>
      <c r="C633" s="5">
        <v>14</v>
      </c>
      <c r="D633" s="6">
        <v>0.99628399999999995</v>
      </c>
      <c r="E633" s="6">
        <v>0.795269</v>
      </c>
    </row>
    <row r="634" spans="1:5" x14ac:dyDescent="0.3">
      <c r="A634" s="1" t="s">
        <v>1713</v>
      </c>
      <c r="B634" s="4">
        <v>48102.02</v>
      </c>
      <c r="C634" s="5">
        <v>16</v>
      </c>
      <c r="D634" s="6">
        <v>0.98940799999999995</v>
      </c>
      <c r="E634" s="6">
        <v>7.3637999999999995E-2</v>
      </c>
    </row>
    <row r="635" spans="1:5" x14ac:dyDescent="0.3">
      <c r="A635" s="1" t="s">
        <v>1471</v>
      </c>
      <c r="B635" s="4">
        <v>-90527.55</v>
      </c>
      <c r="C635" s="5">
        <v>9</v>
      </c>
      <c r="D635" s="6">
        <v>0.91244700000000001</v>
      </c>
      <c r="E635" s="6">
        <v>0.93176700000000001</v>
      </c>
    </row>
    <row r="636" spans="1:5" x14ac:dyDescent="0.3">
      <c r="A636" s="1" t="s">
        <v>2072</v>
      </c>
      <c r="B636" s="4">
        <v>1050</v>
      </c>
      <c r="C636" s="5">
        <v>1</v>
      </c>
      <c r="D636" s="6" t="s">
        <v>1414</v>
      </c>
      <c r="E636" s="6" t="s">
        <v>1414</v>
      </c>
    </row>
    <row r="637" spans="1:5" x14ac:dyDescent="0.3">
      <c r="A637" s="1" t="s">
        <v>1946</v>
      </c>
      <c r="B637" s="4">
        <v>45850.700000000099</v>
      </c>
      <c r="C637" s="5">
        <v>13</v>
      </c>
      <c r="D637" s="6">
        <v>1</v>
      </c>
      <c r="E637" s="6" t="s">
        <v>1414</v>
      </c>
    </row>
    <row r="638" spans="1:5" x14ac:dyDescent="0.3">
      <c r="A638" s="1" t="s">
        <v>559</v>
      </c>
      <c r="B638" s="4">
        <v>-153769.74</v>
      </c>
      <c r="C638" s="5">
        <v>6</v>
      </c>
      <c r="D638" s="6">
        <v>0.906196</v>
      </c>
      <c r="E638" s="6">
        <v>0.62072799999999995</v>
      </c>
    </row>
    <row r="639" spans="1:5" x14ac:dyDescent="0.3">
      <c r="A639" s="1" t="s">
        <v>560</v>
      </c>
      <c r="B639" s="4">
        <v>15100</v>
      </c>
      <c r="C639" s="5">
        <v>10</v>
      </c>
      <c r="D639" s="6" t="s">
        <v>1414</v>
      </c>
      <c r="E639" s="6" t="s">
        <v>1414</v>
      </c>
    </row>
    <row r="640" spans="1:5" x14ac:dyDescent="0.3">
      <c r="A640" s="1" t="s">
        <v>1075</v>
      </c>
      <c r="B640" s="4">
        <v>-61780.97</v>
      </c>
      <c r="C640" s="5">
        <v>18</v>
      </c>
      <c r="D640" s="6">
        <v>0.99779099999999998</v>
      </c>
      <c r="E640" s="6">
        <v>0.25517299999999998</v>
      </c>
    </row>
    <row r="641" spans="1:5" x14ac:dyDescent="0.3">
      <c r="A641" s="1" t="s">
        <v>1001</v>
      </c>
      <c r="B641" s="4">
        <v>54218.37</v>
      </c>
      <c r="C641" s="5">
        <v>33</v>
      </c>
      <c r="D641" s="6">
        <v>0.99742600000000003</v>
      </c>
      <c r="E641" s="6">
        <v>1</v>
      </c>
    </row>
    <row r="642" spans="1:5" x14ac:dyDescent="0.3">
      <c r="A642" s="1" t="s">
        <v>473</v>
      </c>
      <c r="B642" s="4">
        <v>18686.73</v>
      </c>
      <c r="C642" s="5">
        <v>62</v>
      </c>
      <c r="D642" s="6">
        <v>0.97566200000000003</v>
      </c>
      <c r="E642" s="6">
        <v>0.66556099999999996</v>
      </c>
    </row>
    <row r="643" spans="1:5" x14ac:dyDescent="0.3">
      <c r="A643" s="1" t="s">
        <v>845</v>
      </c>
      <c r="B643" s="4">
        <v>172504.97</v>
      </c>
      <c r="C643" s="5">
        <v>19</v>
      </c>
      <c r="D643" s="6">
        <v>1</v>
      </c>
      <c r="E643" s="6">
        <v>0.94209100000000001</v>
      </c>
    </row>
    <row r="644" spans="1:5" x14ac:dyDescent="0.3">
      <c r="A644" s="1" t="s">
        <v>326</v>
      </c>
      <c r="B644" s="4">
        <v>47551.48</v>
      </c>
      <c r="C644" s="5">
        <v>14</v>
      </c>
      <c r="D644" s="6">
        <v>1</v>
      </c>
      <c r="E644" s="6">
        <v>0.33094499999999999</v>
      </c>
    </row>
    <row r="645" spans="1:5" x14ac:dyDescent="0.3">
      <c r="A645" s="1" t="s">
        <v>928</v>
      </c>
      <c r="B645" s="4">
        <v>15319.48</v>
      </c>
      <c r="C645" s="5">
        <v>20</v>
      </c>
      <c r="D645" s="6">
        <v>0.993919</v>
      </c>
      <c r="E645" s="6" t="s">
        <v>1414</v>
      </c>
    </row>
    <row r="646" spans="1:5" x14ac:dyDescent="0.3">
      <c r="A646" s="1" t="s">
        <v>561</v>
      </c>
      <c r="B646" s="4">
        <v>107851.17</v>
      </c>
      <c r="C646" s="5">
        <v>27</v>
      </c>
      <c r="D646" s="6">
        <v>0.99617999999999995</v>
      </c>
      <c r="E646" s="6">
        <v>0.96511800000000003</v>
      </c>
    </row>
    <row r="647" spans="1:5" x14ac:dyDescent="0.3">
      <c r="A647" s="1" t="s">
        <v>248</v>
      </c>
      <c r="B647" s="4">
        <v>83457.009999999995</v>
      </c>
      <c r="C647" s="5">
        <v>18</v>
      </c>
      <c r="D647" s="6">
        <v>0.95308400000000004</v>
      </c>
      <c r="E647" s="6">
        <v>0.63619899999999996</v>
      </c>
    </row>
    <row r="648" spans="1:5" x14ac:dyDescent="0.3">
      <c r="A648" s="1" t="s">
        <v>929</v>
      </c>
      <c r="B648" s="4">
        <v>-198037.94</v>
      </c>
      <c r="C648" s="5">
        <v>15</v>
      </c>
      <c r="D648" s="6">
        <v>0.98859399999999997</v>
      </c>
      <c r="E648" s="6">
        <v>0</v>
      </c>
    </row>
    <row r="649" spans="1:5" x14ac:dyDescent="0.3">
      <c r="A649" s="1" t="s">
        <v>1076</v>
      </c>
      <c r="B649" s="4">
        <v>69492.73</v>
      </c>
      <c r="C649" s="5">
        <v>10</v>
      </c>
      <c r="D649" s="6">
        <v>0.97747700000000004</v>
      </c>
      <c r="E649" s="6">
        <v>0.53465200000000002</v>
      </c>
    </row>
    <row r="650" spans="1:5" x14ac:dyDescent="0.3">
      <c r="A650" s="1" t="s">
        <v>1947</v>
      </c>
      <c r="B650" s="4">
        <v>-2888.13</v>
      </c>
      <c r="C650" s="5">
        <v>0</v>
      </c>
      <c r="D650" s="6">
        <v>0.93474699999999999</v>
      </c>
      <c r="E650" s="6" t="s">
        <v>1414</v>
      </c>
    </row>
    <row r="651" spans="1:5" x14ac:dyDescent="0.3">
      <c r="A651" s="1" t="s">
        <v>699</v>
      </c>
      <c r="B651" s="4">
        <v>-60094.2</v>
      </c>
      <c r="C651" s="5">
        <v>4</v>
      </c>
      <c r="D651" s="6">
        <v>0.99987999999999999</v>
      </c>
      <c r="E651" s="6">
        <v>0.24815599999999999</v>
      </c>
    </row>
    <row r="652" spans="1:5" x14ac:dyDescent="0.3">
      <c r="A652" s="1" t="s">
        <v>930</v>
      </c>
      <c r="B652" s="4">
        <v>75441.960000000006</v>
      </c>
      <c r="C652" s="5">
        <v>21</v>
      </c>
      <c r="D652" s="6">
        <v>0.99589300000000003</v>
      </c>
      <c r="E652" s="6">
        <v>1</v>
      </c>
    </row>
    <row r="653" spans="1:5" x14ac:dyDescent="0.3">
      <c r="A653" s="1" t="s">
        <v>474</v>
      </c>
      <c r="B653" s="4">
        <v>14998.45</v>
      </c>
      <c r="C653" s="5">
        <v>18</v>
      </c>
      <c r="D653" s="6">
        <v>0.99315399999999998</v>
      </c>
      <c r="E653" s="6">
        <v>0.83175600000000005</v>
      </c>
    </row>
    <row r="654" spans="1:5" x14ac:dyDescent="0.3">
      <c r="A654" s="1" t="s">
        <v>2073</v>
      </c>
      <c r="B654" s="4">
        <v>151449.04999999999</v>
      </c>
      <c r="C654" s="5">
        <v>12</v>
      </c>
      <c r="D654" s="6">
        <v>1</v>
      </c>
      <c r="E654" s="6" t="s">
        <v>1414</v>
      </c>
    </row>
    <row r="655" spans="1:5" x14ac:dyDescent="0.3">
      <c r="A655" s="1" t="s">
        <v>562</v>
      </c>
      <c r="B655" s="4">
        <v>121214.36</v>
      </c>
      <c r="C655" s="5">
        <v>17</v>
      </c>
      <c r="D655" s="6">
        <v>0.99813600000000002</v>
      </c>
      <c r="E655" s="6">
        <v>1</v>
      </c>
    </row>
    <row r="656" spans="1:5" x14ac:dyDescent="0.3">
      <c r="A656" s="1" t="s">
        <v>1472</v>
      </c>
      <c r="B656" s="4">
        <v>143254.29</v>
      </c>
      <c r="C656" s="5">
        <v>13</v>
      </c>
      <c r="D656" s="6">
        <v>1</v>
      </c>
      <c r="E656" s="6" t="s">
        <v>1414</v>
      </c>
    </row>
    <row r="657" spans="1:5" x14ac:dyDescent="0.3">
      <c r="A657" s="1" t="s">
        <v>37</v>
      </c>
      <c r="B657" s="4">
        <v>29646.04</v>
      </c>
      <c r="C657" s="5">
        <v>23</v>
      </c>
      <c r="D657" s="6">
        <v>0.993201</v>
      </c>
      <c r="E657" s="6">
        <v>1</v>
      </c>
    </row>
    <row r="658" spans="1:5" x14ac:dyDescent="0.3">
      <c r="A658" s="1" t="s">
        <v>249</v>
      </c>
      <c r="B658" s="4">
        <v>63800.5</v>
      </c>
      <c r="C658" s="5">
        <v>26</v>
      </c>
      <c r="D658" s="6">
        <v>0.99938400000000005</v>
      </c>
      <c r="E658" s="6" t="s">
        <v>1414</v>
      </c>
    </row>
    <row r="659" spans="1:5" x14ac:dyDescent="0.3">
      <c r="A659" s="1" t="s">
        <v>624</v>
      </c>
      <c r="B659" s="4">
        <v>-57285.01</v>
      </c>
      <c r="C659" s="5">
        <v>22</v>
      </c>
      <c r="D659" s="6">
        <v>0.99371799999999999</v>
      </c>
      <c r="E659" s="6">
        <v>0</v>
      </c>
    </row>
    <row r="660" spans="1:5" x14ac:dyDescent="0.3">
      <c r="A660" s="1" t="s">
        <v>700</v>
      </c>
      <c r="B660" s="4">
        <v>-126515.35</v>
      </c>
      <c r="C660" s="5">
        <v>9</v>
      </c>
      <c r="D660" s="6">
        <v>0.99601700000000004</v>
      </c>
      <c r="E660" s="6">
        <v>0.77907499999999996</v>
      </c>
    </row>
    <row r="661" spans="1:5" x14ac:dyDescent="0.3">
      <c r="A661" s="1" t="s">
        <v>625</v>
      </c>
      <c r="B661" s="4">
        <v>53177.3</v>
      </c>
      <c r="C661" s="5">
        <v>17</v>
      </c>
      <c r="D661" s="6">
        <v>0.99181699999999995</v>
      </c>
      <c r="E661" s="6">
        <v>1</v>
      </c>
    </row>
    <row r="662" spans="1:5" x14ac:dyDescent="0.3">
      <c r="A662" s="1" t="s">
        <v>1714</v>
      </c>
      <c r="B662" s="4">
        <v>42003.78</v>
      </c>
      <c r="C662" s="5">
        <v>13</v>
      </c>
      <c r="D662" s="6">
        <v>1</v>
      </c>
      <c r="E662" s="6" t="s">
        <v>1414</v>
      </c>
    </row>
    <row r="663" spans="1:5" x14ac:dyDescent="0.3">
      <c r="A663" s="1" t="s">
        <v>98</v>
      </c>
      <c r="B663" s="4">
        <v>24831.42</v>
      </c>
      <c r="C663" s="5">
        <v>18</v>
      </c>
      <c r="D663" s="6">
        <v>0.99829500000000004</v>
      </c>
      <c r="E663" s="6">
        <v>0.78188400000000002</v>
      </c>
    </row>
    <row r="664" spans="1:5" x14ac:dyDescent="0.3">
      <c r="A664" s="1" t="s">
        <v>475</v>
      </c>
      <c r="B664" s="4">
        <v>75228.649999999994</v>
      </c>
      <c r="C664" s="5">
        <v>16</v>
      </c>
      <c r="D664" s="6">
        <v>0.99817500000000003</v>
      </c>
      <c r="E664" s="6">
        <v>1</v>
      </c>
    </row>
    <row r="665" spans="1:5" x14ac:dyDescent="0.3">
      <c r="A665" s="1" t="s">
        <v>846</v>
      </c>
      <c r="B665" s="4">
        <v>-11799.53</v>
      </c>
      <c r="C665" s="5">
        <v>17</v>
      </c>
      <c r="D665" s="6">
        <v>0.92409600000000003</v>
      </c>
      <c r="E665" s="6">
        <v>1</v>
      </c>
    </row>
    <row r="666" spans="1:5" x14ac:dyDescent="0.3">
      <c r="A666" s="1" t="s">
        <v>563</v>
      </c>
      <c r="B666" s="4">
        <v>10000</v>
      </c>
      <c r="C666" s="5">
        <v>10</v>
      </c>
      <c r="D666" s="6" t="s">
        <v>1414</v>
      </c>
      <c r="E666" s="6" t="s">
        <v>1414</v>
      </c>
    </row>
    <row r="667" spans="1:5" x14ac:dyDescent="0.3">
      <c r="A667" s="1" t="s">
        <v>1715</v>
      </c>
      <c r="B667" s="4">
        <v>-135567.62</v>
      </c>
      <c r="C667" s="5">
        <v>14</v>
      </c>
      <c r="D667" s="6">
        <v>0.96645300000000001</v>
      </c>
      <c r="E667" s="6">
        <v>0.51774100000000001</v>
      </c>
    </row>
    <row r="668" spans="1:5" x14ac:dyDescent="0.3">
      <c r="A668" s="1" t="s">
        <v>1716</v>
      </c>
      <c r="B668" s="4">
        <v>62480.22</v>
      </c>
      <c r="C668" s="5">
        <v>15</v>
      </c>
      <c r="D668" s="6">
        <v>1</v>
      </c>
      <c r="E668" s="6" t="s">
        <v>1414</v>
      </c>
    </row>
    <row r="669" spans="1:5" x14ac:dyDescent="0.3">
      <c r="A669" s="1" t="s">
        <v>1148</v>
      </c>
      <c r="B669" s="4">
        <v>56885.54</v>
      </c>
      <c r="C669" s="5">
        <v>21</v>
      </c>
      <c r="D669" s="6">
        <v>0.99760800000000005</v>
      </c>
      <c r="E669" s="6">
        <v>0.85760400000000003</v>
      </c>
    </row>
    <row r="670" spans="1:5" x14ac:dyDescent="0.3">
      <c r="A670" s="1" t="s">
        <v>1717</v>
      </c>
      <c r="B670" s="4">
        <v>-60968.78</v>
      </c>
      <c r="C670" s="5">
        <v>7</v>
      </c>
      <c r="D670" s="6">
        <v>0.96723000000000003</v>
      </c>
      <c r="E670" s="6" t="s">
        <v>1414</v>
      </c>
    </row>
    <row r="671" spans="1:5" x14ac:dyDescent="0.3">
      <c r="A671" s="1" t="s">
        <v>2074</v>
      </c>
      <c r="B671" s="4">
        <v>200294.51</v>
      </c>
      <c r="C671" s="5">
        <v>11</v>
      </c>
      <c r="D671" s="6">
        <v>1</v>
      </c>
      <c r="E671" s="6" t="s">
        <v>1414</v>
      </c>
    </row>
    <row r="672" spans="1:5" x14ac:dyDescent="0.3">
      <c r="A672" s="1" t="s">
        <v>476</v>
      </c>
      <c r="B672" s="4">
        <v>168358.86</v>
      </c>
      <c r="C672" s="5">
        <v>35</v>
      </c>
      <c r="D672" s="6">
        <v>0.99961100000000003</v>
      </c>
      <c r="E672" s="6">
        <v>1</v>
      </c>
    </row>
    <row r="673" spans="1:5" x14ac:dyDescent="0.3">
      <c r="A673" s="1" t="s">
        <v>626</v>
      </c>
      <c r="B673" s="4">
        <v>61138.94</v>
      </c>
      <c r="C673" s="5">
        <v>14</v>
      </c>
      <c r="D673" s="6">
        <v>1</v>
      </c>
      <c r="E673" s="6">
        <v>0.93991000000000002</v>
      </c>
    </row>
    <row r="674" spans="1:5" x14ac:dyDescent="0.3">
      <c r="A674" s="1" t="s">
        <v>1473</v>
      </c>
      <c r="B674" s="4">
        <v>71792.759999999995</v>
      </c>
      <c r="C674" s="5">
        <v>7</v>
      </c>
      <c r="D674" s="6">
        <v>1</v>
      </c>
      <c r="E674" s="6" t="s">
        <v>1414</v>
      </c>
    </row>
    <row r="675" spans="1:5" x14ac:dyDescent="0.3">
      <c r="A675" s="1" t="s">
        <v>2075</v>
      </c>
      <c r="B675" s="4">
        <v>-243.63</v>
      </c>
      <c r="C675" s="5">
        <v>0</v>
      </c>
      <c r="D675" s="6" t="s">
        <v>1414</v>
      </c>
      <c r="E675" s="6" t="s">
        <v>1414</v>
      </c>
    </row>
    <row r="676" spans="1:5" x14ac:dyDescent="0.3">
      <c r="A676" s="1" t="s">
        <v>178</v>
      </c>
      <c r="B676" s="4">
        <v>30424.25</v>
      </c>
      <c r="C676" s="5">
        <v>17</v>
      </c>
      <c r="D676" s="6">
        <v>0.99967700000000004</v>
      </c>
      <c r="E676" s="6">
        <v>0</v>
      </c>
    </row>
    <row r="677" spans="1:5" x14ac:dyDescent="0.3">
      <c r="A677" s="1" t="s">
        <v>411</v>
      </c>
      <c r="B677" s="4">
        <v>18051.599999999999</v>
      </c>
      <c r="C677" s="5">
        <v>31</v>
      </c>
      <c r="D677" s="6">
        <v>0.99513099999999999</v>
      </c>
      <c r="E677" s="6">
        <v>0.79289799999999999</v>
      </c>
    </row>
    <row r="678" spans="1:5" x14ac:dyDescent="0.3">
      <c r="A678" s="1" t="s">
        <v>627</v>
      </c>
      <c r="B678" s="4">
        <v>-82997.16</v>
      </c>
      <c r="C678" s="5">
        <v>16</v>
      </c>
      <c r="D678" s="6">
        <v>0.94698099999999996</v>
      </c>
      <c r="E678" s="6">
        <v>1</v>
      </c>
    </row>
    <row r="679" spans="1:5" x14ac:dyDescent="0.3">
      <c r="A679" s="1" t="s">
        <v>99</v>
      </c>
      <c r="B679" s="4">
        <v>-4110.96</v>
      </c>
      <c r="C679" s="5">
        <v>17</v>
      </c>
      <c r="D679" s="6">
        <v>0.99597100000000005</v>
      </c>
      <c r="E679" s="6">
        <v>0</v>
      </c>
    </row>
    <row r="680" spans="1:5" x14ac:dyDescent="0.3">
      <c r="A680" s="1" t="s">
        <v>477</v>
      </c>
      <c r="B680" s="4">
        <v>-444779.78</v>
      </c>
      <c r="C680" s="5">
        <v>0</v>
      </c>
      <c r="D680" s="6">
        <v>0.99250300000000002</v>
      </c>
      <c r="E680" s="6">
        <v>1</v>
      </c>
    </row>
    <row r="681" spans="1:5" x14ac:dyDescent="0.3">
      <c r="A681" s="1" t="s">
        <v>564</v>
      </c>
      <c r="B681" s="4">
        <v>37603.050000000003</v>
      </c>
      <c r="C681" s="5">
        <v>19</v>
      </c>
      <c r="D681" s="6">
        <v>1</v>
      </c>
      <c r="E681" s="6">
        <v>1</v>
      </c>
    </row>
    <row r="682" spans="1:5" x14ac:dyDescent="0.3">
      <c r="A682" s="7" t="s">
        <v>1002</v>
      </c>
      <c r="B682" s="8">
        <v>73467.56</v>
      </c>
      <c r="C682" s="9">
        <v>21</v>
      </c>
      <c r="D682" s="10">
        <v>0.99816300000000002</v>
      </c>
      <c r="E682" s="10">
        <v>1</v>
      </c>
    </row>
    <row r="683" spans="1:5" x14ac:dyDescent="0.3">
      <c r="A683" s="1" t="s">
        <v>1474</v>
      </c>
      <c r="B683" s="4">
        <v>61561.26</v>
      </c>
      <c r="C683" s="5">
        <v>15</v>
      </c>
      <c r="D683" s="6">
        <v>0.99804000000000004</v>
      </c>
      <c r="E683" s="6" t="s">
        <v>1414</v>
      </c>
    </row>
    <row r="684" spans="1:5" x14ac:dyDescent="0.3">
      <c r="A684" s="1" t="s">
        <v>1718</v>
      </c>
      <c r="B684" s="4">
        <v>39649.74</v>
      </c>
      <c r="C684" s="5">
        <v>15</v>
      </c>
      <c r="D684" s="6">
        <v>1</v>
      </c>
      <c r="E684" s="6" t="s">
        <v>1414</v>
      </c>
    </row>
    <row r="685" spans="1:5" x14ac:dyDescent="0.3">
      <c r="A685" s="1" t="s">
        <v>2076</v>
      </c>
      <c r="B685" s="4">
        <v>51000</v>
      </c>
      <c r="C685" s="5">
        <v>51</v>
      </c>
      <c r="D685" s="6" t="s">
        <v>1414</v>
      </c>
      <c r="E685" s="6" t="s">
        <v>1414</v>
      </c>
    </row>
    <row r="686" spans="1:5" x14ac:dyDescent="0.3">
      <c r="A686" s="1" t="s">
        <v>250</v>
      </c>
      <c r="B686" s="4">
        <v>-4952.03</v>
      </c>
      <c r="C686" s="5">
        <v>21</v>
      </c>
      <c r="D686" s="6">
        <v>0.992892</v>
      </c>
      <c r="E686" s="6">
        <v>0.66367699999999996</v>
      </c>
    </row>
    <row r="687" spans="1:5" x14ac:dyDescent="0.3">
      <c r="A687" s="1" t="s">
        <v>701</v>
      </c>
      <c r="B687" s="4">
        <v>-10528.77</v>
      </c>
      <c r="C687" s="5">
        <v>11</v>
      </c>
      <c r="D687" s="6">
        <v>0.98508300000000004</v>
      </c>
      <c r="E687" s="6">
        <v>0.25964999999999999</v>
      </c>
    </row>
    <row r="688" spans="1:5" x14ac:dyDescent="0.3">
      <c r="A688" s="1" t="s">
        <v>1149</v>
      </c>
      <c r="B688" s="4">
        <v>-298740.96999999997</v>
      </c>
      <c r="C688" s="5">
        <v>0</v>
      </c>
      <c r="D688" s="6">
        <v>0.97936800000000002</v>
      </c>
      <c r="E688" s="6">
        <v>0.48667100000000002</v>
      </c>
    </row>
    <row r="689" spans="1:5" x14ac:dyDescent="0.3">
      <c r="A689" s="1" t="s">
        <v>38</v>
      </c>
      <c r="B689" s="4">
        <v>27763.29</v>
      </c>
      <c r="C689" s="5">
        <v>18</v>
      </c>
      <c r="D689" s="6">
        <v>0.99884899999999999</v>
      </c>
      <c r="E689" s="6">
        <v>1</v>
      </c>
    </row>
    <row r="690" spans="1:5" x14ac:dyDescent="0.3">
      <c r="A690" s="1" t="s">
        <v>1719</v>
      </c>
      <c r="B690" s="4">
        <v>-90696.06</v>
      </c>
      <c r="C690" s="5">
        <v>12</v>
      </c>
      <c r="D690" s="6">
        <v>0.92269500000000004</v>
      </c>
      <c r="E690" s="6">
        <v>0</v>
      </c>
    </row>
    <row r="691" spans="1:5" x14ac:dyDescent="0.3">
      <c r="A691" s="1" t="s">
        <v>1475</v>
      </c>
      <c r="B691" s="4">
        <v>91513.69</v>
      </c>
      <c r="C691" s="5">
        <v>16</v>
      </c>
      <c r="D691" s="6">
        <v>1</v>
      </c>
      <c r="E691" s="6">
        <v>1</v>
      </c>
    </row>
    <row r="692" spans="1:5" x14ac:dyDescent="0.3">
      <c r="A692" s="1" t="s">
        <v>412</v>
      </c>
      <c r="B692" s="4">
        <v>-158670.21</v>
      </c>
      <c r="C692" s="5">
        <v>20</v>
      </c>
      <c r="D692" s="6">
        <v>0.97929299999999997</v>
      </c>
      <c r="E692" s="6">
        <v>0.25251299999999999</v>
      </c>
    </row>
    <row r="693" spans="1:5" x14ac:dyDescent="0.3">
      <c r="A693" s="1" t="s">
        <v>1720</v>
      </c>
      <c r="B693" s="4">
        <v>77534.62</v>
      </c>
      <c r="C693" s="5">
        <v>10</v>
      </c>
      <c r="D693" s="6">
        <v>1</v>
      </c>
      <c r="E693" s="6">
        <v>1</v>
      </c>
    </row>
    <row r="694" spans="1:5" x14ac:dyDescent="0.3">
      <c r="A694" s="1" t="s">
        <v>1721</v>
      </c>
      <c r="B694" s="4">
        <v>-4701.87</v>
      </c>
      <c r="C694" s="5">
        <v>63</v>
      </c>
      <c r="D694" s="6">
        <v>0.93857699999999999</v>
      </c>
      <c r="E694" s="6">
        <v>1</v>
      </c>
    </row>
    <row r="695" spans="1:5" x14ac:dyDescent="0.3">
      <c r="A695" s="1" t="s">
        <v>39</v>
      </c>
      <c r="B695" s="4">
        <v>-8975.89</v>
      </c>
      <c r="C695" s="5">
        <v>60</v>
      </c>
      <c r="D695" s="6">
        <v>1</v>
      </c>
      <c r="E695" s="6">
        <v>1</v>
      </c>
    </row>
    <row r="696" spans="1:5" x14ac:dyDescent="0.3">
      <c r="A696" s="1" t="s">
        <v>413</v>
      </c>
      <c r="B696" s="4">
        <v>-19717.47</v>
      </c>
      <c r="C696" s="5">
        <v>11</v>
      </c>
      <c r="D696" s="6">
        <v>0.917103</v>
      </c>
      <c r="E696" s="6" t="s">
        <v>1414</v>
      </c>
    </row>
    <row r="697" spans="1:5" x14ac:dyDescent="0.3">
      <c r="A697" s="1" t="s">
        <v>2077</v>
      </c>
      <c r="B697" s="4">
        <v>-11923.2500000001</v>
      </c>
      <c r="C697" s="5">
        <v>7</v>
      </c>
      <c r="D697" s="6">
        <v>0.98788399999999998</v>
      </c>
      <c r="E697" s="6">
        <v>0.20250799999999999</v>
      </c>
    </row>
    <row r="698" spans="1:5" x14ac:dyDescent="0.3">
      <c r="A698" s="1" t="s">
        <v>414</v>
      </c>
      <c r="B698" s="4">
        <v>-6299.58</v>
      </c>
      <c r="C698" s="5">
        <v>15</v>
      </c>
      <c r="D698" s="6">
        <v>0.98643199999999998</v>
      </c>
      <c r="E698" s="6">
        <v>1</v>
      </c>
    </row>
    <row r="699" spans="1:5" x14ac:dyDescent="0.3">
      <c r="A699" s="1" t="s">
        <v>2078</v>
      </c>
      <c r="B699" s="4">
        <v>25235</v>
      </c>
      <c r="C699" s="5">
        <v>8</v>
      </c>
      <c r="D699" s="6" t="s">
        <v>1414</v>
      </c>
      <c r="E699" s="6" t="s">
        <v>1414</v>
      </c>
    </row>
    <row r="700" spans="1:5" x14ac:dyDescent="0.3">
      <c r="A700" s="1" t="s">
        <v>1948</v>
      </c>
      <c r="B700" s="4">
        <v>110097.63</v>
      </c>
      <c r="C700" s="5">
        <v>23</v>
      </c>
      <c r="D700" s="6">
        <v>0.99781200000000003</v>
      </c>
      <c r="E700" s="6">
        <v>0.98983399999999999</v>
      </c>
    </row>
    <row r="701" spans="1:5" x14ac:dyDescent="0.3">
      <c r="A701" s="1" t="s">
        <v>2079</v>
      </c>
      <c r="B701" s="4">
        <v>140800</v>
      </c>
      <c r="C701" s="5">
        <v>20</v>
      </c>
      <c r="D701" s="6" t="s">
        <v>1414</v>
      </c>
      <c r="E701" s="6" t="s">
        <v>1414</v>
      </c>
    </row>
    <row r="702" spans="1:5" x14ac:dyDescent="0.3">
      <c r="A702" s="1" t="s">
        <v>628</v>
      </c>
      <c r="B702" s="4">
        <v>-1177.25</v>
      </c>
      <c r="C702" s="5">
        <v>0</v>
      </c>
      <c r="D702" s="6">
        <v>1</v>
      </c>
      <c r="E702" s="6" t="s">
        <v>1414</v>
      </c>
    </row>
    <row r="703" spans="1:5" x14ac:dyDescent="0.3">
      <c r="A703" s="1" t="s">
        <v>565</v>
      </c>
      <c r="B703" s="4">
        <v>26743.39</v>
      </c>
      <c r="C703" s="5">
        <v>19</v>
      </c>
      <c r="D703" s="6">
        <v>0.998471</v>
      </c>
      <c r="E703" s="6">
        <v>0.99495999999999996</v>
      </c>
    </row>
    <row r="704" spans="1:5" x14ac:dyDescent="0.3">
      <c r="A704" s="1" t="s">
        <v>1150</v>
      </c>
      <c r="B704" s="4">
        <v>-388441.3</v>
      </c>
      <c r="C704" s="5">
        <v>0</v>
      </c>
      <c r="D704" s="6">
        <v>0.99118600000000001</v>
      </c>
      <c r="E704" s="6">
        <v>1</v>
      </c>
    </row>
    <row r="705" spans="1:5" x14ac:dyDescent="0.3">
      <c r="A705" s="1" t="s">
        <v>179</v>
      </c>
      <c r="B705" s="4">
        <v>-41308.21</v>
      </c>
      <c r="C705" s="5">
        <v>13</v>
      </c>
      <c r="D705" s="6">
        <v>0.97956799999999999</v>
      </c>
      <c r="E705" s="6">
        <v>0.808087</v>
      </c>
    </row>
    <row r="706" spans="1:5" x14ac:dyDescent="0.3">
      <c r="A706" s="1" t="s">
        <v>1151</v>
      </c>
      <c r="B706" s="4">
        <v>104965.34</v>
      </c>
      <c r="C706" s="5">
        <v>15</v>
      </c>
      <c r="D706" s="6">
        <v>1</v>
      </c>
      <c r="E706" s="6" t="s">
        <v>1414</v>
      </c>
    </row>
    <row r="707" spans="1:5" x14ac:dyDescent="0.3">
      <c r="A707" s="1" t="s">
        <v>251</v>
      </c>
      <c r="B707" s="4">
        <v>-44392.86</v>
      </c>
      <c r="C707" s="5">
        <v>15</v>
      </c>
      <c r="D707" s="6">
        <v>0.99800699999999998</v>
      </c>
      <c r="E707" s="6">
        <v>0.14002300000000001</v>
      </c>
    </row>
    <row r="708" spans="1:5" x14ac:dyDescent="0.3">
      <c r="A708" s="1" t="s">
        <v>765</v>
      </c>
      <c r="B708" s="4">
        <v>-188700.16</v>
      </c>
      <c r="C708" s="5">
        <v>0</v>
      </c>
      <c r="D708" s="6">
        <v>0.99605699999999997</v>
      </c>
      <c r="E708" s="6">
        <v>0.61135399999999995</v>
      </c>
    </row>
    <row r="709" spans="1:5" x14ac:dyDescent="0.3">
      <c r="A709" s="1" t="s">
        <v>2080</v>
      </c>
      <c r="B709" s="4">
        <v>25651.57</v>
      </c>
      <c r="C709" s="5">
        <v>30</v>
      </c>
      <c r="D709" s="6">
        <v>1</v>
      </c>
      <c r="E709" s="6" t="s">
        <v>1414</v>
      </c>
    </row>
    <row r="710" spans="1:5" x14ac:dyDescent="0.3">
      <c r="A710" s="1" t="s">
        <v>180</v>
      </c>
      <c r="B710" s="4">
        <v>131049.36</v>
      </c>
      <c r="C710" s="5">
        <v>29</v>
      </c>
      <c r="D710" s="6">
        <v>1</v>
      </c>
      <c r="E710" s="6">
        <v>1</v>
      </c>
    </row>
    <row r="711" spans="1:5" x14ac:dyDescent="0.3">
      <c r="A711" s="1" t="s">
        <v>702</v>
      </c>
      <c r="B711" s="4">
        <v>51548.13</v>
      </c>
      <c r="C711" s="5">
        <v>15</v>
      </c>
      <c r="D711" s="6">
        <v>1</v>
      </c>
      <c r="E711" s="6" t="s">
        <v>1414</v>
      </c>
    </row>
    <row r="712" spans="1:5" x14ac:dyDescent="0.3">
      <c r="A712" s="1" t="s">
        <v>181</v>
      </c>
      <c r="B712" s="4">
        <v>3801.89</v>
      </c>
      <c r="C712" s="5">
        <v>55</v>
      </c>
      <c r="D712" s="6">
        <v>0.96723400000000004</v>
      </c>
      <c r="E712" s="6">
        <v>0.85219800000000001</v>
      </c>
    </row>
    <row r="713" spans="1:5" x14ac:dyDescent="0.3">
      <c r="A713" s="1" t="s">
        <v>1152</v>
      </c>
      <c r="B713" s="4">
        <v>41899.65</v>
      </c>
      <c r="C713" s="5">
        <v>11</v>
      </c>
      <c r="D713" s="6">
        <v>0.95055500000000004</v>
      </c>
      <c r="E713" s="6">
        <v>0.93726299999999996</v>
      </c>
    </row>
    <row r="714" spans="1:5" x14ac:dyDescent="0.3">
      <c r="A714" s="1" t="s">
        <v>566</v>
      </c>
      <c r="B714" s="4">
        <v>-97573.6</v>
      </c>
      <c r="C714" s="5">
        <v>12</v>
      </c>
      <c r="D714" s="6">
        <v>0.99290100000000003</v>
      </c>
      <c r="E714" s="6">
        <v>0.25826300000000002</v>
      </c>
    </row>
    <row r="715" spans="1:5" x14ac:dyDescent="0.3">
      <c r="A715" s="1" t="s">
        <v>847</v>
      </c>
      <c r="B715" s="4">
        <v>144126.64000000001</v>
      </c>
      <c r="C715" s="5">
        <v>9</v>
      </c>
      <c r="D715" s="6">
        <v>0.94565299999999997</v>
      </c>
      <c r="E715" s="6">
        <v>0.48056900000000002</v>
      </c>
    </row>
    <row r="716" spans="1:5" x14ac:dyDescent="0.3">
      <c r="A716" s="1" t="s">
        <v>703</v>
      </c>
      <c r="B716" s="4">
        <v>76998.14</v>
      </c>
      <c r="C716" s="5">
        <v>26</v>
      </c>
      <c r="D716" s="6">
        <v>0.99912199999999995</v>
      </c>
      <c r="E716" s="6">
        <v>1</v>
      </c>
    </row>
    <row r="717" spans="1:5" x14ac:dyDescent="0.3">
      <c r="A717" s="1" t="s">
        <v>1003</v>
      </c>
      <c r="B717" s="4">
        <v>121162.22</v>
      </c>
      <c r="C717" s="5">
        <v>18</v>
      </c>
      <c r="D717" s="6">
        <v>0.96707200000000004</v>
      </c>
      <c r="E717" s="6">
        <v>0.82420899999999997</v>
      </c>
    </row>
    <row r="718" spans="1:5" x14ac:dyDescent="0.3">
      <c r="A718" s="1" t="s">
        <v>1153</v>
      </c>
      <c r="B718" s="4">
        <v>-22069.74</v>
      </c>
      <c r="C718" s="5">
        <v>19</v>
      </c>
      <c r="D718" s="6">
        <v>0.99925299999999995</v>
      </c>
      <c r="E718" s="6">
        <v>0.37626999999999999</v>
      </c>
    </row>
    <row r="719" spans="1:5" x14ac:dyDescent="0.3">
      <c r="A719" s="1" t="s">
        <v>2081</v>
      </c>
      <c r="B719" s="4">
        <v>18000</v>
      </c>
      <c r="C719" s="5">
        <v>4</v>
      </c>
      <c r="D719" s="6" t="s">
        <v>1414</v>
      </c>
      <c r="E719" s="6" t="s">
        <v>1414</v>
      </c>
    </row>
    <row r="720" spans="1:5" x14ac:dyDescent="0.3">
      <c r="A720" s="1" t="s">
        <v>931</v>
      </c>
      <c r="B720" s="4">
        <v>-53738.2</v>
      </c>
      <c r="C720" s="5">
        <v>15</v>
      </c>
      <c r="D720" s="6">
        <v>0.97988500000000001</v>
      </c>
      <c r="E720" s="6">
        <v>0.82285200000000003</v>
      </c>
    </row>
    <row r="721" spans="1:5" x14ac:dyDescent="0.3">
      <c r="A721" s="1" t="s">
        <v>40</v>
      </c>
      <c r="B721" s="4">
        <v>88685.3</v>
      </c>
      <c r="C721" s="5">
        <v>19</v>
      </c>
      <c r="D721" s="6">
        <v>1</v>
      </c>
      <c r="E721" s="6">
        <v>0.938994</v>
      </c>
    </row>
    <row r="722" spans="1:5" x14ac:dyDescent="0.3">
      <c r="A722" s="1" t="s">
        <v>567</v>
      </c>
      <c r="B722" s="4">
        <v>-208608.58</v>
      </c>
      <c r="C722" s="5">
        <v>0</v>
      </c>
      <c r="D722" s="6">
        <v>0.95748</v>
      </c>
      <c r="E722" s="6">
        <v>0.28413500000000003</v>
      </c>
    </row>
    <row r="723" spans="1:5" x14ac:dyDescent="0.3">
      <c r="A723" s="1" t="s">
        <v>932</v>
      </c>
      <c r="B723" s="4">
        <v>153701.03</v>
      </c>
      <c r="C723" s="5">
        <v>24</v>
      </c>
      <c r="D723" s="6">
        <v>1</v>
      </c>
      <c r="E723" s="6">
        <v>1</v>
      </c>
    </row>
    <row r="724" spans="1:5" x14ac:dyDescent="0.3">
      <c r="A724" s="1" t="s">
        <v>1722</v>
      </c>
      <c r="B724" s="4">
        <v>125624.35</v>
      </c>
      <c r="C724" s="5">
        <v>12</v>
      </c>
      <c r="D724" s="6">
        <v>1</v>
      </c>
      <c r="E724" s="6" t="s">
        <v>1414</v>
      </c>
    </row>
    <row r="725" spans="1:5" x14ac:dyDescent="0.3">
      <c r="A725" s="1" t="s">
        <v>848</v>
      </c>
      <c r="B725" s="4">
        <v>-117336.67</v>
      </c>
      <c r="C725" s="5">
        <v>25</v>
      </c>
      <c r="D725" s="6">
        <v>0.96018800000000004</v>
      </c>
      <c r="E725" s="6">
        <v>0.81223800000000002</v>
      </c>
    </row>
    <row r="726" spans="1:5" x14ac:dyDescent="0.3">
      <c r="A726" s="1" t="s">
        <v>2082</v>
      </c>
      <c r="B726" s="4">
        <v>0</v>
      </c>
      <c r="C726" s="5">
        <v>0</v>
      </c>
      <c r="D726" s="6" t="s">
        <v>1414</v>
      </c>
      <c r="E726" s="6" t="s">
        <v>1414</v>
      </c>
    </row>
    <row r="727" spans="1:5" x14ac:dyDescent="0.3">
      <c r="A727" s="1" t="s">
        <v>629</v>
      </c>
      <c r="B727" s="4">
        <v>330568.43</v>
      </c>
      <c r="C727" s="5">
        <v>19</v>
      </c>
      <c r="D727" s="6">
        <v>0.99870400000000004</v>
      </c>
      <c r="E727" s="6" t="s">
        <v>1414</v>
      </c>
    </row>
    <row r="728" spans="1:5" x14ac:dyDescent="0.3">
      <c r="A728" s="1" t="s">
        <v>1476</v>
      </c>
      <c r="B728" s="4">
        <v>-6907.13</v>
      </c>
      <c r="C728" s="5">
        <v>41</v>
      </c>
      <c r="D728" s="6">
        <v>0.97334799999999999</v>
      </c>
      <c r="E728" s="6">
        <v>0.86071799999999998</v>
      </c>
    </row>
    <row r="729" spans="1:5" x14ac:dyDescent="0.3">
      <c r="A729" s="1" t="s">
        <v>100</v>
      </c>
      <c r="B729" s="4">
        <v>55874.83</v>
      </c>
      <c r="C729" s="5">
        <v>13</v>
      </c>
      <c r="D729" s="6">
        <v>0.96366499999999999</v>
      </c>
      <c r="E729" s="6">
        <v>1</v>
      </c>
    </row>
    <row r="730" spans="1:5" x14ac:dyDescent="0.3">
      <c r="A730" s="1" t="s">
        <v>327</v>
      </c>
      <c r="B730" s="4">
        <v>-102285.74</v>
      </c>
      <c r="C730" s="5">
        <v>12</v>
      </c>
      <c r="D730" s="6">
        <v>0.96429900000000002</v>
      </c>
      <c r="E730" s="6">
        <v>0</v>
      </c>
    </row>
    <row r="731" spans="1:5" x14ac:dyDescent="0.3">
      <c r="A731" s="1" t="s">
        <v>415</v>
      </c>
      <c r="B731" s="4">
        <v>-188469.13</v>
      </c>
      <c r="C731" s="5">
        <v>18</v>
      </c>
      <c r="D731" s="6">
        <v>0.977549</v>
      </c>
      <c r="E731" s="6">
        <v>0.76133899999999999</v>
      </c>
    </row>
    <row r="732" spans="1:5" x14ac:dyDescent="0.3">
      <c r="A732" s="1" t="s">
        <v>2083</v>
      </c>
      <c r="B732" s="4">
        <v>49784.87</v>
      </c>
      <c r="C732" s="5">
        <v>50</v>
      </c>
      <c r="D732" s="6" t="s">
        <v>1414</v>
      </c>
      <c r="E732" s="6" t="s">
        <v>1414</v>
      </c>
    </row>
    <row r="733" spans="1:5" x14ac:dyDescent="0.3">
      <c r="A733" s="1" t="s">
        <v>1949</v>
      </c>
      <c r="B733" s="4">
        <v>-77282.94</v>
      </c>
      <c r="C733" s="5">
        <v>10</v>
      </c>
      <c r="D733" s="6">
        <v>0.99388799999999999</v>
      </c>
      <c r="E733" s="6">
        <v>7.7078999999999995E-2</v>
      </c>
    </row>
    <row r="734" spans="1:5" x14ac:dyDescent="0.3">
      <c r="A734" s="1" t="s">
        <v>766</v>
      </c>
      <c r="B734" s="4">
        <v>116058.43</v>
      </c>
      <c r="C734" s="5">
        <v>34</v>
      </c>
      <c r="D734" s="6">
        <v>0.96799400000000002</v>
      </c>
      <c r="E734" s="6" t="s">
        <v>1414</v>
      </c>
    </row>
    <row r="735" spans="1:5" x14ac:dyDescent="0.3">
      <c r="A735" s="1" t="s">
        <v>1004</v>
      </c>
      <c r="B735" s="4">
        <v>-136613.73000000001</v>
      </c>
      <c r="C735" s="5">
        <v>13</v>
      </c>
      <c r="D735" s="6">
        <v>0.91891599999999996</v>
      </c>
      <c r="E735" s="6">
        <v>1</v>
      </c>
    </row>
    <row r="736" spans="1:5" x14ac:dyDescent="0.3">
      <c r="A736" s="1" t="s">
        <v>1154</v>
      </c>
      <c r="B736" s="4">
        <v>-24527.61</v>
      </c>
      <c r="C736" s="5">
        <v>45</v>
      </c>
      <c r="D736" s="6">
        <v>0.97713000000000005</v>
      </c>
      <c r="E736" s="6">
        <v>0.60353599999999996</v>
      </c>
    </row>
    <row r="737" spans="1:5" x14ac:dyDescent="0.3">
      <c r="A737" s="1" t="s">
        <v>1723</v>
      </c>
      <c r="B737" s="4">
        <v>23564.38</v>
      </c>
      <c r="C737" s="5">
        <v>9</v>
      </c>
      <c r="D737" s="6">
        <v>1</v>
      </c>
      <c r="E737" s="6" t="s">
        <v>1414</v>
      </c>
    </row>
    <row r="738" spans="1:5" x14ac:dyDescent="0.3">
      <c r="A738" s="1" t="s">
        <v>2084</v>
      </c>
      <c r="B738" s="4">
        <v>166189.14000000001</v>
      </c>
      <c r="C738" s="5">
        <v>12</v>
      </c>
      <c r="D738" s="6" t="s">
        <v>1414</v>
      </c>
      <c r="E738" s="6" t="s">
        <v>1414</v>
      </c>
    </row>
    <row r="739" spans="1:5" x14ac:dyDescent="0.3">
      <c r="A739" s="1" t="s">
        <v>2085</v>
      </c>
      <c r="B739" s="4">
        <v>48710.7</v>
      </c>
      <c r="C739" s="5">
        <v>51</v>
      </c>
      <c r="D739" s="6">
        <v>1</v>
      </c>
      <c r="E739" s="6" t="s">
        <v>1414</v>
      </c>
    </row>
    <row r="740" spans="1:5" x14ac:dyDescent="0.3">
      <c r="A740" s="1" t="s">
        <v>849</v>
      </c>
      <c r="B740" s="4">
        <v>90529.42</v>
      </c>
      <c r="C740" s="5">
        <v>14</v>
      </c>
      <c r="D740" s="6">
        <v>0.99194899999999997</v>
      </c>
      <c r="E740" s="6">
        <v>0.81604100000000002</v>
      </c>
    </row>
    <row r="741" spans="1:5" x14ac:dyDescent="0.3">
      <c r="A741" s="1" t="s">
        <v>933</v>
      </c>
      <c r="B741" s="4">
        <v>-86137.16</v>
      </c>
      <c r="C741" s="5">
        <v>19</v>
      </c>
      <c r="D741" s="6">
        <v>0.99529500000000004</v>
      </c>
      <c r="E741" s="6">
        <v>0.784111</v>
      </c>
    </row>
    <row r="742" spans="1:5" x14ac:dyDescent="0.3">
      <c r="A742" s="1" t="s">
        <v>2086</v>
      </c>
      <c r="B742" s="4">
        <v>22549.35</v>
      </c>
      <c r="C742" s="5">
        <v>11</v>
      </c>
      <c r="D742" s="6" t="s">
        <v>1414</v>
      </c>
      <c r="E742" s="6" t="s">
        <v>1414</v>
      </c>
    </row>
    <row r="743" spans="1:5" x14ac:dyDescent="0.3">
      <c r="A743" s="1" t="s">
        <v>1724</v>
      </c>
      <c r="B743" s="4">
        <v>-17378.509999999998</v>
      </c>
      <c r="C743" s="5">
        <v>17</v>
      </c>
      <c r="D743" s="6">
        <v>1</v>
      </c>
      <c r="E743" s="6" t="s">
        <v>1414</v>
      </c>
    </row>
    <row r="744" spans="1:5" x14ac:dyDescent="0.3">
      <c r="A744" s="1" t="s">
        <v>1477</v>
      </c>
      <c r="B744" s="4">
        <v>45146.78</v>
      </c>
      <c r="C744" s="5">
        <v>13</v>
      </c>
      <c r="D744" s="6">
        <v>1</v>
      </c>
      <c r="E744" s="6" t="s">
        <v>1414</v>
      </c>
    </row>
    <row r="745" spans="1:5" x14ac:dyDescent="0.3">
      <c r="A745" s="1" t="s">
        <v>2087</v>
      </c>
      <c r="B745" s="4">
        <v>60092</v>
      </c>
      <c r="C745" s="5">
        <v>7</v>
      </c>
      <c r="D745" s="6" t="s">
        <v>1414</v>
      </c>
      <c r="E745" s="6" t="s">
        <v>1414</v>
      </c>
    </row>
    <row r="746" spans="1:5" x14ac:dyDescent="0.3">
      <c r="A746" s="1" t="s">
        <v>101</v>
      </c>
      <c r="B746" s="4">
        <v>-1071547.92</v>
      </c>
      <c r="C746" s="5">
        <v>0</v>
      </c>
      <c r="D746" s="6">
        <v>0.84100200000000003</v>
      </c>
      <c r="E746" s="6">
        <v>0.238257</v>
      </c>
    </row>
    <row r="747" spans="1:5" x14ac:dyDescent="0.3">
      <c r="A747" s="1" t="s">
        <v>328</v>
      </c>
      <c r="B747" s="4">
        <v>73288.100000000006</v>
      </c>
      <c r="C747" s="5">
        <v>17</v>
      </c>
      <c r="D747" s="6">
        <v>0.92093599999999998</v>
      </c>
      <c r="E747" s="6">
        <v>0.61758900000000005</v>
      </c>
    </row>
    <row r="748" spans="1:5" x14ac:dyDescent="0.3">
      <c r="A748" s="1" t="s">
        <v>102</v>
      </c>
      <c r="B748" s="4">
        <v>89532.35</v>
      </c>
      <c r="C748" s="5">
        <v>22</v>
      </c>
      <c r="D748" s="6">
        <v>0.99904800000000005</v>
      </c>
      <c r="E748" s="6">
        <v>0.82273300000000005</v>
      </c>
    </row>
    <row r="749" spans="1:5" x14ac:dyDescent="0.3">
      <c r="A749" s="1" t="s">
        <v>934</v>
      </c>
      <c r="B749" s="4">
        <v>-41076.92</v>
      </c>
      <c r="C749" s="5">
        <v>12</v>
      </c>
      <c r="D749" s="6">
        <v>0.98204800000000003</v>
      </c>
      <c r="E749" s="6">
        <v>0.59349099999999999</v>
      </c>
    </row>
    <row r="750" spans="1:5" x14ac:dyDescent="0.3">
      <c r="A750" s="1" t="s">
        <v>630</v>
      </c>
      <c r="B750" s="4">
        <v>-127867.59</v>
      </c>
      <c r="C750" s="5">
        <v>9</v>
      </c>
      <c r="D750" s="6">
        <v>0.99038899999999996</v>
      </c>
      <c r="E750" s="6">
        <v>1</v>
      </c>
    </row>
    <row r="751" spans="1:5" x14ac:dyDescent="0.3">
      <c r="A751" s="1" t="s">
        <v>1725</v>
      </c>
      <c r="B751" s="4">
        <v>-33489.480000000003</v>
      </c>
      <c r="C751" s="5">
        <v>0</v>
      </c>
      <c r="D751" s="6">
        <v>0.99722599999999995</v>
      </c>
      <c r="E751" s="6">
        <v>0.74627100000000002</v>
      </c>
    </row>
    <row r="752" spans="1:5" x14ac:dyDescent="0.3">
      <c r="A752" s="1" t="s">
        <v>704</v>
      </c>
      <c r="B752" s="4">
        <v>155791.87</v>
      </c>
      <c r="C752" s="5">
        <v>18</v>
      </c>
      <c r="D752" s="6">
        <v>0.99631000000000003</v>
      </c>
      <c r="E752" s="6">
        <v>1</v>
      </c>
    </row>
    <row r="753" spans="1:5" x14ac:dyDescent="0.3">
      <c r="A753" s="1" t="s">
        <v>2088</v>
      </c>
      <c r="B753" s="4">
        <v>46928.33</v>
      </c>
      <c r="C753" s="5">
        <v>11</v>
      </c>
      <c r="D753" s="6">
        <v>1</v>
      </c>
      <c r="E753" s="6" t="s">
        <v>1414</v>
      </c>
    </row>
    <row r="754" spans="1:5" x14ac:dyDescent="0.3">
      <c r="A754" s="1" t="s">
        <v>2089</v>
      </c>
      <c r="B754" s="4">
        <v>15000</v>
      </c>
      <c r="C754" s="5">
        <v>1</v>
      </c>
      <c r="D754" s="6" t="s">
        <v>1414</v>
      </c>
      <c r="E754" s="6" t="s">
        <v>1414</v>
      </c>
    </row>
    <row r="755" spans="1:5" x14ac:dyDescent="0.3">
      <c r="A755" s="1" t="s">
        <v>1478</v>
      </c>
      <c r="B755" s="4">
        <v>260991.48</v>
      </c>
      <c r="C755" s="5">
        <v>21</v>
      </c>
      <c r="D755" s="6">
        <v>0.99936400000000003</v>
      </c>
      <c r="E755" s="6" t="s">
        <v>1414</v>
      </c>
    </row>
    <row r="756" spans="1:5" x14ac:dyDescent="0.3">
      <c r="A756" s="1" t="s">
        <v>767</v>
      </c>
      <c r="B756" s="4">
        <v>411186.04</v>
      </c>
      <c r="C756" s="5">
        <v>21</v>
      </c>
      <c r="D756" s="6">
        <v>1</v>
      </c>
      <c r="E756" s="6">
        <v>1</v>
      </c>
    </row>
    <row r="757" spans="1:5" x14ac:dyDescent="0.3">
      <c r="A757" s="1" t="s">
        <v>568</v>
      </c>
      <c r="B757" s="4">
        <v>238820.31</v>
      </c>
      <c r="C757" s="5">
        <v>20</v>
      </c>
      <c r="D757" s="6">
        <v>1</v>
      </c>
      <c r="E757" s="6">
        <v>0.97331100000000004</v>
      </c>
    </row>
    <row r="758" spans="1:5" x14ac:dyDescent="0.3">
      <c r="A758" s="1" t="s">
        <v>935</v>
      </c>
      <c r="B758" s="4">
        <v>80032.72</v>
      </c>
      <c r="C758" s="5">
        <v>116</v>
      </c>
      <c r="D758" s="6">
        <v>0.99443199999999998</v>
      </c>
      <c r="E758" s="6">
        <v>1</v>
      </c>
    </row>
    <row r="759" spans="1:5" x14ac:dyDescent="0.3">
      <c r="A759" s="1" t="s">
        <v>1479</v>
      </c>
      <c r="B759" s="4">
        <v>-220427.16</v>
      </c>
      <c r="C759" s="5">
        <v>5</v>
      </c>
      <c r="D759" s="6">
        <v>0.95309600000000005</v>
      </c>
      <c r="E759" s="6">
        <v>0.528115</v>
      </c>
    </row>
    <row r="760" spans="1:5" x14ac:dyDescent="0.3">
      <c r="A760" s="1" t="s">
        <v>478</v>
      </c>
      <c r="B760" s="4">
        <v>-120648.88</v>
      </c>
      <c r="C760" s="5">
        <v>8</v>
      </c>
      <c r="D760" s="6">
        <v>0.99372899999999997</v>
      </c>
      <c r="E760" s="6">
        <v>1</v>
      </c>
    </row>
    <row r="761" spans="1:5" x14ac:dyDescent="0.3">
      <c r="A761" s="1" t="s">
        <v>1480</v>
      </c>
      <c r="B761" s="4">
        <v>14893.14</v>
      </c>
      <c r="C761" s="5">
        <v>15</v>
      </c>
      <c r="D761" s="6">
        <v>0.97858999999999996</v>
      </c>
      <c r="E761" s="6">
        <v>0.31463400000000002</v>
      </c>
    </row>
    <row r="762" spans="1:5" x14ac:dyDescent="0.3">
      <c r="A762" s="1" t="s">
        <v>850</v>
      </c>
      <c r="B762" s="4">
        <v>-31879.27</v>
      </c>
      <c r="C762" s="5">
        <v>11</v>
      </c>
      <c r="D762" s="6">
        <v>0.97877199999999998</v>
      </c>
      <c r="E762" s="6">
        <v>1</v>
      </c>
    </row>
    <row r="763" spans="1:5" x14ac:dyDescent="0.3">
      <c r="A763" s="1" t="s">
        <v>103</v>
      </c>
      <c r="B763" s="4">
        <v>30886.61</v>
      </c>
      <c r="C763" s="5">
        <v>11</v>
      </c>
      <c r="D763" s="6">
        <v>1</v>
      </c>
      <c r="E763" s="6">
        <v>1</v>
      </c>
    </row>
    <row r="764" spans="1:5" x14ac:dyDescent="0.3">
      <c r="A764" s="1" t="s">
        <v>1481</v>
      </c>
      <c r="B764" s="4">
        <v>4486.96</v>
      </c>
      <c r="C764" s="5">
        <v>88</v>
      </c>
      <c r="D764" s="6">
        <v>0.98921499999999996</v>
      </c>
      <c r="E764" s="6">
        <v>0.83169599999999999</v>
      </c>
    </row>
    <row r="765" spans="1:5" x14ac:dyDescent="0.3">
      <c r="A765" s="1" t="s">
        <v>329</v>
      </c>
      <c r="B765" s="4">
        <v>-88257.2</v>
      </c>
      <c r="C765" s="5">
        <v>16</v>
      </c>
      <c r="D765" s="6">
        <v>1</v>
      </c>
      <c r="E765" s="6">
        <v>1</v>
      </c>
    </row>
    <row r="766" spans="1:5" x14ac:dyDescent="0.3">
      <c r="A766" s="1" t="s">
        <v>1482</v>
      </c>
      <c r="B766" s="4">
        <v>179679.76</v>
      </c>
      <c r="C766" s="5">
        <v>12</v>
      </c>
      <c r="D766" s="6">
        <v>1</v>
      </c>
      <c r="E766" s="6">
        <v>1</v>
      </c>
    </row>
    <row r="767" spans="1:5" x14ac:dyDescent="0.3">
      <c r="A767" s="1" t="s">
        <v>104</v>
      </c>
      <c r="B767" s="4">
        <v>106037.15</v>
      </c>
      <c r="C767" s="5">
        <v>22</v>
      </c>
      <c r="D767" s="6">
        <v>0.98819000000000001</v>
      </c>
      <c r="E767" s="6">
        <v>0</v>
      </c>
    </row>
    <row r="768" spans="1:5" x14ac:dyDescent="0.3">
      <c r="A768" s="7" t="s">
        <v>1950</v>
      </c>
      <c r="B768" s="8">
        <v>143176.6</v>
      </c>
      <c r="C768" s="9">
        <v>11</v>
      </c>
      <c r="D768" s="10">
        <v>1</v>
      </c>
      <c r="E768" s="10" t="s">
        <v>1414</v>
      </c>
    </row>
    <row r="769" spans="1:5" x14ac:dyDescent="0.3">
      <c r="A769" s="1" t="s">
        <v>1077</v>
      </c>
      <c r="B769" s="4">
        <v>67418.960000000006</v>
      </c>
      <c r="C769" s="5">
        <v>12</v>
      </c>
      <c r="D769" s="6">
        <v>0.99957700000000005</v>
      </c>
      <c r="E769" s="6">
        <v>0.66047</v>
      </c>
    </row>
    <row r="770" spans="1:5" x14ac:dyDescent="0.3">
      <c r="A770" s="1" t="s">
        <v>631</v>
      </c>
      <c r="B770" s="4">
        <v>30096.6</v>
      </c>
      <c r="C770" s="5">
        <v>13</v>
      </c>
      <c r="D770" s="6">
        <v>0.96271200000000001</v>
      </c>
      <c r="E770" s="6">
        <v>0.35003899999999999</v>
      </c>
    </row>
    <row r="771" spans="1:5" x14ac:dyDescent="0.3">
      <c r="A771" s="1" t="s">
        <v>1078</v>
      </c>
      <c r="B771" s="4">
        <v>106236.37</v>
      </c>
      <c r="C771" s="5">
        <v>30</v>
      </c>
      <c r="D771" s="6">
        <v>0.98826000000000003</v>
      </c>
      <c r="E771" s="6">
        <v>1</v>
      </c>
    </row>
    <row r="772" spans="1:5" x14ac:dyDescent="0.3">
      <c r="A772" s="1" t="s">
        <v>1726</v>
      </c>
      <c r="B772" s="4">
        <v>-9053.4599999999991</v>
      </c>
      <c r="C772" s="5">
        <v>63</v>
      </c>
      <c r="D772" s="6">
        <v>0.99407199999999996</v>
      </c>
      <c r="E772" s="6">
        <v>0.45738099999999998</v>
      </c>
    </row>
    <row r="773" spans="1:5" x14ac:dyDescent="0.3">
      <c r="A773" s="1" t="s">
        <v>1155</v>
      </c>
      <c r="B773" s="4">
        <v>-42296.18</v>
      </c>
      <c r="C773" s="5">
        <v>12</v>
      </c>
      <c r="D773" s="6">
        <v>0.99143199999999998</v>
      </c>
      <c r="E773" s="6">
        <v>0.93573099999999998</v>
      </c>
    </row>
    <row r="774" spans="1:5" x14ac:dyDescent="0.3">
      <c r="A774" s="1" t="s">
        <v>1727</v>
      </c>
      <c r="B774" s="4">
        <v>192566.5</v>
      </c>
      <c r="C774" s="5">
        <v>14</v>
      </c>
      <c r="D774" s="6">
        <v>1</v>
      </c>
      <c r="E774" s="6" t="s">
        <v>1414</v>
      </c>
    </row>
    <row r="775" spans="1:5" x14ac:dyDescent="0.3">
      <c r="A775" s="1" t="s">
        <v>1728</v>
      </c>
      <c r="B775" s="4">
        <v>231806.13</v>
      </c>
      <c r="C775" s="5">
        <v>20</v>
      </c>
      <c r="D775" s="6">
        <v>1</v>
      </c>
      <c r="E775" s="6" t="s">
        <v>1414</v>
      </c>
    </row>
    <row r="776" spans="1:5" x14ac:dyDescent="0.3">
      <c r="A776" s="1" t="s">
        <v>851</v>
      </c>
      <c r="B776" s="4">
        <v>27644.54</v>
      </c>
      <c r="C776" s="5">
        <v>11</v>
      </c>
      <c r="D776" s="6">
        <v>1</v>
      </c>
      <c r="E776" s="6" t="s">
        <v>1414</v>
      </c>
    </row>
    <row r="777" spans="1:5" x14ac:dyDescent="0.3">
      <c r="A777" s="1" t="s">
        <v>330</v>
      </c>
      <c r="B777" s="4">
        <v>-99613.48</v>
      </c>
      <c r="C777" s="5">
        <v>19</v>
      </c>
      <c r="D777" s="6">
        <v>0.99553599999999998</v>
      </c>
      <c r="E777" s="6">
        <v>0.454961</v>
      </c>
    </row>
    <row r="778" spans="1:5" x14ac:dyDescent="0.3">
      <c r="A778" s="1" t="s">
        <v>1483</v>
      </c>
      <c r="B778" s="4">
        <v>68347.91</v>
      </c>
      <c r="C778" s="5">
        <v>14</v>
      </c>
      <c r="D778" s="6">
        <v>1</v>
      </c>
      <c r="E778" s="6" t="s">
        <v>1414</v>
      </c>
    </row>
    <row r="779" spans="1:5" x14ac:dyDescent="0.3">
      <c r="A779" s="1" t="s">
        <v>1484</v>
      </c>
      <c r="B779" s="4">
        <v>110636.68</v>
      </c>
      <c r="C779" s="5">
        <v>21</v>
      </c>
      <c r="D779" s="6">
        <v>1</v>
      </c>
      <c r="E779" s="6" t="s">
        <v>1414</v>
      </c>
    </row>
    <row r="780" spans="1:5" x14ac:dyDescent="0.3">
      <c r="A780" s="1" t="s">
        <v>331</v>
      </c>
      <c r="B780" s="4">
        <v>-31158.09</v>
      </c>
      <c r="C780" s="5">
        <v>28</v>
      </c>
      <c r="D780" s="6">
        <v>1</v>
      </c>
      <c r="E780" s="6">
        <v>0.551867</v>
      </c>
    </row>
    <row r="781" spans="1:5" x14ac:dyDescent="0.3">
      <c r="A781" s="1" t="s">
        <v>1951</v>
      </c>
      <c r="B781" s="4">
        <v>69647.25</v>
      </c>
      <c r="C781" s="5">
        <v>12</v>
      </c>
      <c r="D781" s="6">
        <v>1</v>
      </c>
      <c r="E781" s="6" t="s">
        <v>1414</v>
      </c>
    </row>
    <row r="782" spans="1:5" x14ac:dyDescent="0.3">
      <c r="A782" s="1" t="s">
        <v>705</v>
      </c>
      <c r="B782" s="4">
        <v>-100577.24</v>
      </c>
      <c r="C782" s="5">
        <v>13</v>
      </c>
      <c r="D782" s="6">
        <v>0.99598399999999998</v>
      </c>
      <c r="E782" s="6">
        <v>0.65715999999999997</v>
      </c>
    </row>
    <row r="783" spans="1:5" x14ac:dyDescent="0.3">
      <c r="A783" s="1" t="s">
        <v>2090</v>
      </c>
      <c r="B783" s="4">
        <v>74897.78</v>
      </c>
      <c r="C783" s="5">
        <v>11</v>
      </c>
      <c r="D783" s="6">
        <v>1</v>
      </c>
      <c r="E783" s="6" t="s">
        <v>1414</v>
      </c>
    </row>
    <row r="784" spans="1:5" x14ac:dyDescent="0.3">
      <c r="A784" s="1" t="s">
        <v>332</v>
      </c>
      <c r="B784" s="4">
        <v>67086.75</v>
      </c>
      <c r="C784" s="5">
        <v>10</v>
      </c>
      <c r="D784" s="6">
        <v>0.99709400000000004</v>
      </c>
      <c r="E784" s="6">
        <v>0.99151299999999998</v>
      </c>
    </row>
    <row r="785" spans="1:5" x14ac:dyDescent="0.3">
      <c r="A785" s="1" t="s">
        <v>105</v>
      </c>
      <c r="B785" s="4">
        <v>49429.29</v>
      </c>
      <c r="C785" s="5">
        <v>33</v>
      </c>
      <c r="D785" s="6">
        <v>0.99965599999999999</v>
      </c>
      <c r="E785" s="6">
        <v>0.90399700000000005</v>
      </c>
    </row>
    <row r="786" spans="1:5" x14ac:dyDescent="0.3">
      <c r="A786" s="1" t="s">
        <v>1729</v>
      </c>
      <c r="B786" s="4">
        <v>28161.67</v>
      </c>
      <c r="C786" s="5">
        <v>9</v>
      </c>
      <c r="D786" s="6">
        <v>1</v>
      </c>
      <c r="E786" s="6" t="s">
        <v>1414</v>
      </c>
    </row>
    <row r="787" spans="1:5" x14ac:dyDescent="0.3">
      <c r="A787" s="1" t="s">
        <v>1485</v>
      </c>
      <c r="B787" s="4">
        <v>-9610.4599999999991</v>
      </c>
      <c r="C787" s="5">
        <v>46</v>
      </c>
      <c r="D787" s="6">
        <v>0.98363599999999995</v>
      </c>
      <c r="E787" s="6">
        <v>1</v>
      </c>
    </row>
    <row r="788" spans="1:5" x14ac:dyDescent="0.3">
      <c r="A788" s="1" t="s">
        <v>1730</v>
      </c>
      <c r="B788" s="4">
        <v>-198594.67</v>
      </c>
      <c r="C788" s="5">
        <v>0</v>
      </c>
      <c r="D788" s="6">
        <v>0.98527699999999996</v>
      </c>
      <c r="E788" s="6">
        <v>9.6461000000000005E-2</v>
      </c>
    </row>
    <row r="789" spans="1:5" x14ac:dyDescent="0.3">
      <c r="A789" s="1" t="s">
        <v>1005</v>
      </c>
      <c r="B789" s="4">
        <v>83321.73</v>
      </c>
      <c r="C789" s="5">
        <v>22</v>
      </c>
      <c r="D789" s="6">
        <v>0.99425699999999995</v>
      </c>
      <c r="E789" s="6">
        <v>0.75446100000000005</v>
      </c>
    </row>
    <row r="790" spans="1:5" x14ac:dyDescent="0.3">
      <c r="A790" s="1" t="s">
        <v>852</v>
      </c>
      <c r="B790" s="4">
        <v>42489.13</v>
      </c>
      <c r="C790" s="5">
        <v>31</v>
      </c>
      <c r="D790" s="6">
        <v>0.98772199999999999</v>
      </c>
      <c r="E790" s="6">
        <v>1</v>
      </c>
    </row>
    <row r="791" spans="1:5" x14ac:dyDescent="0.3">
      <c r="A791" s="1" t="s">
        <v>2091</v>
      </c>
      <c r="B791" s="4">
        <v>0</v>
      </c>
      <c r="C791" s="5">
        <v>0</v>
      </c>
      <c r="D791" s="6" t="s">
        <v>1414</v>
      </c>
      <c r="E791" s="6" t="s">
        <v>1414</v>
      </c>
    </row>
    <row r="792" spans="1:5" x14ac:dyDescent="0.3">
      <c r="A792" s="1" t="s">
        <v>333</v>
      </c>
      <c r="B792" s="4">
        <v>78324.23</v>
      </c>
      <c r="C792" s="5">
        <v>20</v>
      </c>
      <c r="D792" s="6">
        <v>1</v>
      </c>
      <c r="E792" s="6">
        <v>0</v>
      </c>
    </row>
    <row r="793" spans="1:5" x14ac:dyDescent="0.3">
      <c r="A793" s="1" t="s">
        <v>334</v>
      </c>
      <c r="B793" s="4">
        <v>95013.62</v>
      </c>
      <c r="C793" s="5">
        <v>21</v>
      </c>
      <c r="D793" s="6">
        <v>0.99987099999999995</v>
      </c>
      <c r="E793" s="6">
        <v>1</v>
      </c>
    </row>
    <row r="794" spans="1:5" x14ac:dyDescent="0.3">
      <c r="A794" s="1" t="s">
        <v>252</v>
      </c>
      <c r="B794" s="4">
        <v>-144578.07999999999</v>
      </c>
      <c r="C794" s="5">
        <v>10</v>
      </c>
      <c r="D794" s="6">
        <v>0.99565599999999999</v>
      </c>
      <c r="E794" s="6">
        <v>0.38908399999999999</v>
      </c>
    </row>
    <row r="795" spans="1:5" x14ac:dyDescent="0.3">
      <c r="A795" s="1" t="s">
        <v>936</v>
      </c>
      <c r="B795" s="4">
        <v>-26602.91</v>
      </c>
      <c r="C795" s="5">
        <v>52</v>
      </c>
      <c r="D795" s="6">
        <v>0.98150400000000004</v>
      </c>
      <c r="E795" s="6">
        <v>0.52679500000000001</v>
      </c>
    </row>
    <row r="796" spans="1:5" x14ac:dyDescent="0.3">
      <c r="A796" s="1" t="s">
        <v>1731</v>
      </c>
      <c r="B796" s="4">
        <v>10690.11</v>
      </c>
      <c r="C796" s="5">
        <v>40</v>
      </c>
      <c r="D796" s="6">
        <v>0.93912099999999998</v>
      </c>
      <c r="E796" s="6">
        <v>0.23688799999999999</v>
      </c>
    </row>
    <row r="797" spans="1:5" x14ac:dyDescent="0.3">
      <c r="A797" s="1" t="s">
        <v>853</v>
      </c>
      <c r="B797" s="4">
        <v>-162390.47</v>
      </c>
      <c r="C797" s="5">
        <v>0</v>
      </c>
      <c r="D797" s="6">
        <v>0.96068500000000001</v>
      </c>
      <c r="E797" s="6">
        <v>0.91423500000000002</v>
      </c>
    </row>
    <row r="798" spans="1:5" x14ac:dyDescent="0.3">
      <c r="A798" s="1" t="s">
        <v>1732</v>
      </c>
      <c r="B798" s="4">
        <v>77193.47</v>
      </c>
      <c r="C798" s="5">
        <v>9</v>
      </c>
      <c r="D798" s="6">
        <v>1</v>
      </c>
      <c r="E798" s="6" t="s">
        <v>1414</v>
      </c>
    </row>
    <row r="799" spans="1:5" x14ac:dyDescent="0.3">
      <c r="A799" s="1" t="s">
        <v>416</v>
      </c>
      <c r="B799" s="4">
        <v>-11295.64</v>
      </c>
      <c r="C799" s="5">
        <v>0</v>
      </c>
      <c r="D799" s="6" t="s">
        <v>1414</v>
      </c>
      <c r="E799" s="6">
        <v>0</v>
      </c>
    </row>
    <row r="800" spans="1:5" x14ac:dyDescent="0.3">
      <c r="A800" s="1" t="s">
        <v>1486</v>
      </c>
      <c r="B800" s="4">
        <v>96896.79</v>
      </c>
      <c r="C800" s="5">
        <v>16</v>
      </c>
      <c r="D800" s="6">
        <v>0.997031</v>
      </c>
      <c r="E800" s="6">
        <v>1</v>
      </c>
    </row>
    <row r="801" spans="1:5" x14ac:dyDescent="0.3">
      <c r="A801" s="1" t="s">
        <v>2092</v>
      </c>
      <c r="B801" s="4">
        <v>17725.5</v>
      </c>
      <c r="C801" s="5">
        <v>20</v>
      </c>
      <c r="D801" s="6">
        <v>1</v>
      </c>
      <c r="E801" s="6" t="s">
        <v>1414</v>
      </c>
    </row>
    <row r="802" spans="1:5" x14ac:dyDescent="0.3">
      <c r="A802" s="1" t="s">
        <v>417</v>
      </c>
      <c r="B802" s="4">
        <v>22592.63</v>
      </c>
      <c r="C802" s="5">
        <v>16</v>
      </c>
      <c r="D802" s="6">
        <v>0.99070800000000003</v>
      </c>
      <c r="E802" s="6" t="s">
        <v>1414</v>
      </c>
    </row>
    <row r="803" spans="1:5" x14ac:dyDescent="0.3">
      <c r="A803" s="1" t="s">
        <v>1733</v>
      </c>
      <c r="B803" s="4">
        <v>7001.61</v>
      </c>
      <c r="C803" s="5">
        <v>3</v>
      </c>
      <c r="D803" s="6">
        <v>1</v>
      </c>
      <c r="E803" s="6" t="s">
        <v>1414</v>
      </c>
    </row>
    <row r="804" spans="1:5" x14ac:dyDescent="0.3">
      <c r="A804" s="1" t="s">
        <v>253</v>
      </c>
      <c r="B804" s="4">
        <v>-96405.53</v>
      </c>
      <c r="C804" s="5">
        <v>15</v>
      </c>
      <c r="D804" s="6">
        <v>1</v>
      </c>
      <c r="E804" s="6">
        <v>1</v>
      </c>
    </row>
    <row r="805" spans="1:5" x14ac:dyDescent="0.3">
      <c r="A805" s="1" t="s">
        <v>854</v>
      </c>
      <c r="B805" s="4">
        <v>-92726.66</v>
      </c>
      <c r="C805" s="5">
        <v>10</v>
      </c>
      <c r="D805" s="6">
        <v>0.91624300000000003</v>
      </c>
      <c r="E805" s="6">
        <v>0.68973200000000001</v>
      </c>
    </row>
    <row r="806" spans="1:5" x14ac:dyDescent="0.3">
      <c r="A806" s="1" t="s">
        <v>1952</v>
      </c>
      <c r="B806" s="4">
        <v>59669.94</v>
      </c>
      <c r="C806" s="5">
        <v>17</v>
      </c>
      <c r="D806" s="6">
        <v>0.99799499999999997</v>
      </c>
      <c r="E806" s="6">
        <v>1</v>
      </c>
    </row>
    <row r="807" spans="1:5" x14ac:dyDescent="0.3">
      <c r="A807" s="1" t="s">
        <v>632</v>
      </c>
      <c r="B807" s="4">
        <v>90264.4</v>
      </c>
      <c r="C807" s="5">
        <v>20</v>
      </c>
      <c r="D807" s="6">
        <v>0.98399400000000004</v>
      </c>
      <c r="E807" s="6">
        <v>0.33726099999999998</v>
      </c>
    </row>
    <row r="808" spans="1:5" x14ac:dyDescent="0.3">
      <c r="A808" s="1" t="s">
        <v>2093</v>
      </c>
      <c r="B808" s="4">
        <v>49445.15</v>
      </c>
      <c r="C808" s="5">
        <v>60</v>
      </c>
      <c r="D808" s="6">
        <v>1</v>
      </c>
      <c r="E808" s="6" t="s">
        <v>1414</v>
      </c>
    </row>
    <row r="809" spans="1:5" x14ac:dyDescent="0.3">
      <c r="A809" s="1" t="s">
        <v>335</v>
      </c>
      <c r="B809" s="4">
        <v>-2086.59</v>
      </c>
      <c r="C809" s="5">
        <v>14</v>
      </c>
      <c r="D809" s="6">
        <v>0.97841299999999998</v>
      </c>
      <c r="E809" s="6">
        <v>1</v>
      </c>
    </row>
    <row r="810" spans="1:5" x14ac:dyDescent="0.3">
      <c r="A810" s="1" t="s">
        <v>479</v>
      </c>
      <c r="B810" s="4">
        <v>-39541.4</v>
      </c>
      <c r="C810" s="5">
        <v>18</v>
      </c>
      <c r="D810" s="6">
        <v>1</v>
      </c>
      <c r="E810" s="6">
        <v>0.91948700000000005</v>
      </c>
    </row>
    <row r="811" spans="1:5" x14ac:dyDescent="0.3">
      <c r="A811" s="1" t="s">
        <v>254</v>
      </c>
      <c r="B811" s="4">
        <v>-8189.25</v>
      </c>
      <c r="C811" s="5">
        <v>90</v>
      </c>
      <c r="D811" s="6">
        <v>0.98223499999999997</v>
      </c>
      <c r="E811" s="6">
        <v>0.261268</v>
      </c>
    </row>
    <row r="812" spans="1:5" x14ac:dyDescent="0.3">
      <c r="A812" s="1" t="s">
        <v>1734</v>
      </c>
      <c r="B812" s="4">
        <v>-309324.09999999998</v>
      </c>
      <c r="C812" s="5">
        <v>12</v>
      </c>
      <c r="D812" s="6">
        <v>0.90497799999999995</v>
      </c>
      <c r="E812" s="6">
        <v>0</v>
      </c>
    </row>
    <row r="813" spans="1:5" x14ac:dyDescent="0.3">
      <c r="A813" s="1" t="s">
        <v>569</v>
      </c>
      <c r="B813" s="4">
        <v>25890.53</v>
      </c>
      <c r="C813" s="5">
        <v>19</v>
      </c>
      <c r="D813" s="6">
        <v>0.99721199999999999</v>
      </c>
      <c r="E813" s="6">
        <v>1</v>
      </c>
    </row>
    <row r="814" spans="1:5" x14ac:dyDescent="0.3">
      <c r="A814" s="1" t="s">
        <v>633</v>
      </c>
      <c r="B814" s="4">
        <v>43168.77</v>
      </c>
      <c r="C814" s="5">
        <v>22</v>
      </c>
      <c r="D814" s="6">
        <v>1</v>
      </c>
      <c r="E814" s="6">
        <v>1</v>
      </c>
    </row>
    <row r="815" spans="1:5" x14ac:dyDescent="0.3">
      <c r="A815" s="1" t="s">
        <v>1487</v>
      </c>
      <c r="B815" s="4">
        <v>4192.76</v>
      </c>
      <c r="C815" s="5">
        <v>50</v>
      </c>
      <c r="D815" s="6">
        <v>0.95875699999999997</v>
      </c>
      <c r="E815" s="6">
        <v>0.22972400000000001</v>
      </c>
    </row>
    <row r="816" spans="1:5" x14ac:dyDescent="0.3">
      <c r="A816" s="1" t="s">
        <v>2094</v>
      </c>
      <c r="B816" s="4">
        <v>33158.300000000003</v>
      </c>
      <c r="C816" s="5">
        <v>40</v>
      </c>
      <c r="D816" s="6">
        <v>1</v>
      </c>
      <c r="E816" s="6" t="s">
        <v>1414</v>
      </c>
    </row>
    <row r="817" spans="1:5" x14ac:dyDescent="0.3">
      <c r="A817" s="1" t="s">
        <v>1488</v>
      </c>
      <c r="B817" s="4">
        <v>66963.94</v>
      </c>
      <c r="C817" s="5">
        <v>18</v>
      </c>
      <c r="D817" s="6">
        <v>0.99847600000000003</v>
      </c>
      <c r="E817" s="6">
        <v>0.79123399999999999</v>
      </c>
    </row>
    <row r="818" spans="1:5" x14ac:dyDescent="0.3">
      <c r="A818" s="1" t="s">
        <v>634</v>
      </c>
      <c r="B818" s="4">
        <v>-229565.34</v>
      </c>
      <c r="C818" s="5">
        <v>18</v>
      </c>
      <c r="D818" s="6">
        <v>0.971271</v>
      </c>
      <c r="E818" s="6">
        <v>3.7474E-2</v>
      </c>
    </row>
    <row r="819" spans="1:5" x14ac:dyDescent="0.3">
      <c r="A819" s="1" t="s">
        <v>1953</v>
      </c>
      <c r="B819" s="4">
        <v>-20313.22</v>
      </c>
      <c r="C819" s="5">
        <v>43</v>
      </c>
      <c r="D819" s="6">
        <v>0.98000399999999999</v>
      </c>
      <c r="E819" s="6">
        <v>0.17336399999999999</v>
      </c>
    </row>
    <row r="820" spans="1:5" x14ac:dyDescent="0.3">
      <c r="A820" s="1" t="s">
        <v>768</v>
      </c>
      <c r="B820" s="4">
        <v>80370.070000000007</v>
      </c>
      <c r="C820" s="5">
        <v>31</v>
      </c>
      <c r="D820" s="6">
        <v>0.998471</v>
      </c>
      <c r="E820" s="6">
        <v>0.90569100000000002</v>
      </c>
    </row>
    <row r="821" spans="1:5" x14ac:dyDescent="0.3">
      <c r="A821" s="1" t="s">
        <v>1489</v>
      </c>
      <c r="B821" s="4">
        <v>50004.34</v>
      </c>
      <c r="C821" s="5">
        <v>13</v>
      </c>
      <c r="D821" s="6">
        <v>1</v>
      </c>
      <c r="E821" s="6" t="s">
        <v>1414</v>
      </c>
    </row>
    <row r="822" spans="1:5" x14ac:dyDescent="0.3">
      <c r="A822" s="1" t="s">
        <v>1954</v>
      </c>
      <c r="B822" s="4">
        <v>23719.38</v>
      </c>
      <c r="C822" s="5">
        <v>40</v>
      </c>
      <c r="D822" s="6">
        <v>1</v>
      </c>
      <c r="E822" s="6" t="s">
        <v>1414</v>
      </c>
    </row>
    <row r="823" spans="1:5" x14ac:dyDescent="0.3">
      <c r="A823" s="1" t="s">
        <v>1490</v>
      </c>
      <c r="B823" s="4">
        <v>157647.4</v>
      </c>
      <c r="C823" s="5">
        <v>21</v>
      </c>
      <c r="D823" s="6">
        <v>1</v>
      </c>
      <c r="E823" s="6">
        <v>1</v>
      </c>
    </row>
    <row r="824" spans="1:5" x14ac:dyDescent="0.3">
      <c r="A824" s="1" t="s">
        <v>1491</v>
      </c>
      <c r="B824" s="4">
        <v>22567.01</v>
      </c>
      <c r="C824" s="5">
        <v>19</v>
      </c>
      <c r="D824" s="6">
        <v>0.995618</v>
      </c>
      <c r="E824" s="6">
        <v>0.972557</v>
      </c>
    </row>
    <row r="825" spans="1:5" x14ac:dyDescent="0.3">
      <c r="A825" s="1" t="s">
        <v>1735</v>
      </c>
      <c r="B825" s="4">
        <v>39815.730000000003</v>
      </c>
      <c r="C825" s="5">
        <v>30</v>
      </c>
      <c r="D825" s="6">
        <v>1</v>
      </c>
      <c r="E825" s="6" t="s">
        <v>1414</v>
      </c>
    </row>
    <row r="826" spans="1:5" x14ac:dyDescent="0.3">
      <c r="A826" s="1" t="s">
        <v>2095</v>
      </c>
      <c r="B826" s="4">
        <v>64807</v>
      </c>
      <c r="C826" s="5">
        <v>12</v>
      </c>
      <c r="D826" s="6" t="s">
        <v>1414</v>
      </c>
      <c r="E826" s="6" t="s">
        <v>1414</v>
      </c>
    </row>
    <row r="827" spans="1:5" x14ac:dyDescent="0.3">
      <c r="A827" s="1" t="s">
        <v>635</v>
      </c>
      <c r="B827" s="4">
        <v>85917.6</v>
      </c>
      <c r="C827" s="5">
        <v>25</v>
      </c>
      <c r="D827" s="6">
        <v>0.99749100000000002</v>
      </c>
      <c r="E827" s="6">
        <v>1</v>
      </c>
    </row>
    <row r="828" spans="1:5" x14ac:dyDescent="0.3">
      <c r="A828" s="1" t="s">
        <v>1492</v>
      </c>
      <c r="B828" s="4">
        <v>-89666.14</v>
      </c>
      <c r="C828" s="5">
        <v>42</v>
      </c>
      <c r="D828" s="6">
        <v>0.97598700000000005</v>
      </c>
      <c r="E828" s="6">
        <v>0.308307</v>
      </c>
    </row>
    <row r="829" spans="1:5" x14ac:dyDescent="0.3">
      <c r="A829" s="1" t="s">
        <v>106</v>
      </c>
      <c r="B829" s="4">
        <v>48970.46</v>
      </c>
      <c r="C829" s="5">
        <v>24</v>
      </c>
      <c r="D829" s="6">
        <v>0.99141800000000002</v>
      </c>
      <c r="E829" s="6">
        <v>0.95840999999999998</v>
      </c>
    </row>
    <row r="830" spans="1:5" x14ac:dyDescent="0.3">
      <c r="A830" s="1" t="s">
        <v>1736</v>
      </c>
      <c r="B830" s="4">
        <v>10833.38</v>
      </c>
      <c r="C830" s="5">
        <v>17</v>
      </c>
      <c r="D830" s="6">
        <v>0.99857799999999997</v>
      </c>
      <c r="E830" s="6">
        <v>5.7127999999999998E-2</v>
      </c>
    </row>
    <row r="831" spans="1:5" x14ac:dyDescent="0.3">
      <c r="A831" s="1" t="s">
        <v>2096</v>
      </c>
      <c r="B831" s="4">
        <v>110705.89</v>
      </c>
      <c r="C831" s="5">
        <v>61</v>
      </c>
      <c r="D831" s="6" t="s">
        <v>1414</v>
      </c>
      <c r="E831" s="6" t="s">
        <v>1414</v>
      </c>
    </row>
    <row r="832" spans="1:5" x14ac:dyDescent="0.3">
      <c r="A832" s="1" t="s">
        <v>855</v>
      </c>
      <c r="B832" s="4">
        <v>61834.7</v>
      </c>
      <c r="C832" s="5">
        <v>17</v>
      </c>
      <c r="D832" s="6">
        <v>0.99164799999999997</v>
      </c>
      <c r="E832" s="6">
        <v>0.80150999999999994</v>
      </c>
    </row>
    <row r="833" spans="1:5" x14ac:dyDescent="0.3">
      <c r="A833" s="1" t="s">
        <v>937</v>
      </c>
      <c r="B833" s="4">
        <v>61184.65</v>
      </c>
      <c r="C833" s="5">
        <v>21</v>
      </c>
      <c r="D833" s="6">
        <v>1</v>
      </c>
      <c r="E833" s="6">
        <v>1</v>
      </c>
    </row>
    <row r="834" spans="1:5" x14ac:dyDescent="0.3">
      <c r="A834" s="1" t="s">
        <v>2097</v>
      </c>
      <c r="B834" s="4">
        <v>47761.09</v>
      </c>
      <c r="C834" s="5">
        <v>20</v>
      </c>
      <c r="D834" s="6">
        <v>1</v>
      </c>
      <c r="E834" s="6">
        <v>0.95920000000000005</v>
      </c>
    </row>
    <row r="835" spans="1:5" x14ac:dyDescent="0.3">
      <c r="A835" s="1" t="s">
        <v>1079</v>
      </c>
      <c r="B835" s="4">
        <v>-162094.26</v>
      </c>
      <c r="C835" s="5">
        <v>18</v>
      </c>
      <c r="D835" s="6">
        <v>0.98484099999999997</v>
      </c>
      <c r="E835" s="6">
        <v>0.98644699999999996</v>
      </c>
    </row>
    <row r="836" spans="1:5" x14ac:dyDescent="0.3">
      <c r="A836" s="1" t="s">
        <v>2098</v>
      </c>
      <c r="B836" s="4">
        <v>-37686.620000000003</v>
      </c>
      <c r="C836" s="5">
        <v>0</v>
      </c>
      <c r="D836" s="6">
        <v>0.93863799999999997</v>
      </c>
      <c r="E836" s="6">
        <v>0.20219799999999999</v>
      </c>
    </row>
    <row r="837" spans="1:5" x14ac:dyDescent="0.3">
      <c r="A837" s="1" t="s">
        <v>1156</v>
      </c>
      <c r="B837" s="4">
        <v>46756.63</v>
      </c>
      <c r="C837" s="5">
        <v>16</v>
      </c>
      <c r="D837" s="6">
        <v>1</v>
      </c>
      <c r="E837" s="6">
        <v>0.93463600000000002</v>
      </c>
    </row>
    <row r="838" spans="1:5" x14ac:dyDescent="0.3">
      <c r="A838" s="1" t="s">
        <v>1955</v>
      </c>
      <c r="B838" s="4">
        <v>37934.04</v>
      </c>
      <c r="C838" s="5">
        <v>8</v>
      </c>
      <c r="D838" s="6">
        <v>1</v>
      </c>
      <c r="E838" s="6" t="s">
        <v>1414</v>
      </c>
    </row>
    <row r="839" spans="1:5" x14ac:dyDescent="0.3">
      <c r="A839" s="1" t="s">
        <v>1080</v>
      </c>
      <c r="B839" s="4">
        <v>62107.86</v>
      </c>
      <c r="C839" s="5">
        <v>24</v>
      </c>
      <c r="D839" s="6">
        <v>0.99540799999999996</v>
      </c>
      <c r="E839" s="6">
        <v>1</v>
      </c>
    </row>
    <row r="840" spans="1:5" x14ac:dyDescent="0.3">
      <c r="A840" s="1" t="s">
        <v>1081</v>
      </c>
      <c r="B840" s="4">
        <v>-456.15</v>
      </c>
      <c r="C840" s="5">
        <v>0</v>
      </c>
      <c r="D840" s="6" t="s">
        <v>1414</v>
      </c>
      <c r="E840" s="6" t="s">
        <v>1414</v>
      </c>
    </row>
    <row r="841" spans="1:5" x14ac:dyDescent="0.3">
      <c r="A841" s="1" t="s">
        <v>107</v>
      </c>
      <c r="B841" s="4">
        <v>91309.38</v>
      </c>
      <c r="C841" s="5">
        <v>15</v>
      </c>
      <c r="D841" s="6">
        <v>0.98701499999999998</v>
      </c>
      <c r="E841" s="6">
        <v>0.97019500000000003</v>
      </c>
    </row>
    <row r="842" spans="1:5" x14ac:dyDescent="0.3">
      <c r="A842" s="1" t="s">
        <v>636</v>
      </c>
      <c r="B842" s="4">
        <v>13646.96</v>
      </c>
      <c r="C842" s="5">
        <v>24</v>
      </c>
      <c r="D842" s="6">
        <v>0.99896799999999997</v>
      </c>
      <c r="E842" s="6">
        <v>0.52954699999999999</v>
      </c>
    </row>
    <row r="843" spans="1:5" x14ac:dyDescent="0.3">
      <c r="A843" s="1" t="s">
        <v>1493</v>
      </c>
      <c r="B843" s="4">
        <v>109987.22</v>
      </c>
      <c r="C843" s="5">
        <v>18</v>
      </c>
      <c r="D843" s="6">
        <v>1</v>
      </c>
      <c r="E843" s="6" t="s">
        <v>1414</v>
      </c>
    </row>
    <row r="844" spans="1:5" x14ac:dyDescent="0.3">
      <c r="A844" s="1" t="s">
        <v>255</v>
      </c>
      <c r="B844" s="4">
        <v>32339.88</v>
      </c>
      <c r="C844" s="5">
        <v>20</v>
      </c>
      <c r="D844" s="6">
        <v>0.99817</v>
      </c>
      <c r="E844" s="6">
        <v>0.90775600000000001</v>
      </c>
    </row>
    <row r="845" spans="1:5" x14ac:dyDescent="0.3">
      <c r="A845" s="1" t="s">
        <v>41</v>
      </c>
      <c r="B845" s="4">
        <v>-100144.62</v>
      </c>
      <c r="C845" s="5">
        <v>22</v>
      </c>
      <c r="D845" s="6">
        <v>0.99909700000000001</v>
      </c>
      <c r="E845" s="6">
        <v>0.51060099999999997</v>
      </c>
    </row>
    <row r="846" spans="1:5" x14ac:dyDescent="0.3">
      <c r="A846" s="1" t="s">
        <v>1082</v>
      </c>
      <c r="B846" s="4">
        <v>28755.85</v>
      </c>
      <c r="C846" s="5">
        <v>79</v>
      </c>
      <c r="D846" s="6">
        <v>0.91467200000000004</v>
      </c>
      <c r="E846" s="6">
        <v>0.20845</v>
      </c>
    </row>
    <row r="847" spans="1:5" x14ac:dyDescent="0.3">
      <c r="A847" s="1" t="s">
        <v>182</v>
      </c>
      <c r="B847" s="4">
        <v>242532.1</v>
      </c>
      <c r="C847" s="5">
        <v>25</v>
      </c>
      <c r="D847" s="6">
        <v>1</v>
      </c>
      <c r="E847" s="6" t="s">
        <v>1414</v>
      </c>
    </row>
    <row r="848" spans="1:5" x14ac:dyDescent="0.3">
      <c r="A848" s="1" t="s">
        <v>706</v>
      </c>
      <c r="B848" s="4">
        <v>37827.18</v>
      </c>
      <c r="C848" s="5">
        <v>25</v>
      </c>
      <c r="D848" s="6">
        <v>0.98814800000000003</v>
      </c>
      <c r="E848" s="6">
        <v>0.98599599999999998</v>
      </c>
    </row>
    <row r="849" spans="1:5" x14ac:dyDescent="0.3">
      <c r="A849" s="1" t="s">
        <v>1083</v>
      </c>
      <c r="B849" s="4">
        <v>46252.04</v>
      </c>
      <c r="C849" s="5">
        <v>27</v>
      </c>
      <c r="D849" s="6">
        <v>1</v>
      </c>
      <c r="E849" s="6">
        <v>1</v>
      </c>
    </row>
    <row r="850" spans="1:5" x14ac:dyDescent="0.3">
      <c r="A850" s="1" t="s">
        <v>2099</v>
      </c>
      <c r="B850" s="4">
        <v>-53654.33</v>
      </c>
      <c r="C850" s="5">
        <v>16</v>
      </c>
      <c r="D850" s="6">
        <v>0.99080000000000001</v>
      </c>
      <c r="E850" s="6">
        <v>1</v>
      </c>
    </row>
    <row r="851" spans="1:5" x14ac:dyDescent="0.3">
      <c r="A851" s="1" t="s">
        <v>1494</v>
      </c>
      <c r="B851" s="4">
        <v>78693.279999999999</v>
      </c>
      <c r="C851" s="5">
        <v>12</v>
      </c>
      <c r="D851" s="6">
        <v>1</v>
      </c>
      <c r="E851" s="6" t="s">
        <v>1414</v>
      </c>
    </row>
    <row r="852" spans="1:5" x14ac:dyDescent="0.3">
      <c r="A852" s="1" t="s">
        <v>1737</v>
      </c>
      <c r="B852" s="4">
        <v>-14916.9</v>
      </c>
      <c r="C852" s="5">
        <v>10</v>
      </c>
      <c r="D852" s="6">
        <v>0.99617699999999998</v>
      </c>
      <c r="E852" s="6" t="s">
        <v>1414</v>
      </c>
    </row>
    <row r="853" spans="1:5" x14ac:dyDescent="0.3">
      <c r="A853" s="1" t="s">
        <v>1738</v>
      </c>
      <c r="B853" s="4">
        <v>18494.97</v>
      </c>
      <c r="C853" s="5">
        <v>12</v>
      </c>
      <c r="D853" s="6">
        <v>0.98532699999999995</v>
      </c>
      <c r="E853" s="6">
        <v>4.6610000000000002E-3</v>
      </c>
    </row>
    <row r="854" spans="1:5" x14ac:dyDescent="0.3">
      <c r="A854" s="1" t="s">
        <v>480</v>
      </c>
      <c r="B854" s="4">
        <v>-140448.62</v>
      </c>
      <c r="C854" s="5">
        <v>18</v>
      </c>
      <c r="D854" s="6">
        <v>0.996838</v>
      </c>
      <c r="E854" s="6">
        <v>0.79297499999999999</v>
      </c>
    </row>
    <row r="855" spans="1:5" x14ac:dyDescent="0.3">
      <c r="A855" s="1" t="s">
        <v>1157</v>
      </c>
      <c r="B855" s="4">
        <v>66043.19</v>
      </c>
      <c r="C855" s="5">
        <v>17</v>
      </c>
      <c r="D855" s="6">
        <v>1</v>
      </c>
      <c r="E855" s="6">
        <v>1</v>
      </c>
    </row>
    <row r="856" spans="1:5" x14ac:dyDescent="0.3">
      <c r="A856" s="1" t="s">
        <v>769</v>
      </c>
      <c r="B856" s="4">
        <v>50816.43</v>
      </c>
      <c r="C856" s="5">
        <v>18</v>
      </c>
      <c r="D856" s="6">
        <v>0.99874700000000005</v>
      </c>
      <c r="E856" s="6">
        <v>0.72174700000000003</v>
      </c>
    </row>
    <row r="857" spans="1:5" x14ac:dyDescent="0.3">
      <c r="A857" s="1" t="s">
        <v>42</v>
      </c>
      <c r="B857" s="4">
        <v>32148.5</v>
      </c>
      <c r="C857" s="5">
        <v>15</v>
      </c>
      <c r="D857" s="6">
        <v>1</v>
      </c>
      <c r="E857" s="6">
        <v>0.96895500000000001</v>
      </c>
    </row>
    <row r="858" spans="1:5" x14ac:dyDescent="0.3">
      <c r="A858" s="1" t="s">
        <v>1956</v>
      </c>
      <c r="B858" s="4">
        <v>20522.150000000001</v>
      </c>
      <c r="C858" s="5">
        <v>8</v>
      </c>
      <c r="D858" s="6">
        <v>0.51703900000000003</v>
      </c>
      <c r="E858" s="6" t="s">
        <v>1414</v>
      </c>
    </row>
    <row r="859" spans="1:5" x14ac:dyDescent="0.3">
      <c r="A859" s="1" t="s">
        <v>336</v>
      </c>
      <c r="B859" s="4">
        <v>115361.63</v>
      </c>
      <c r="C859" s="5">
        <v>17</v>
      </c>
      <c r="D859" s="6">
        <v>0.98338499999999995</v>
      </c>
      <c r="E859" s="6">
        <v>0.90530699999999997</v>
      </c>
    </row>
    <row r="860" spans="1:5" x14ac:dyDescent="0.3">
      <c r="A860" s="1" t="s">
        <v>183</v>
      </c>
      <c r="B860" s="4">
        <v>20135.36</v>
      </c>
      <c r="C860" s="5">
        <v>16</v>
      </c>
      <c r="D860" s="6">
        <v>0.99320399999999998</v>
      </c>
      <c r="E860" s="6">
        <v>1</v>
      </c>
    </row>
    <row r="861" spans="1:5" x14ac:dyDescent="0.3">
      <c r="A861" s="1" t="s">
        <v>1495</v>
      </c>
      <c r="B861" s="4">
        <v>21995.439999999999</v>
      </c>
      <c r="C861" s="5">
        <v>16</v>
      </c>
      <c r="D861" s="6">
        <v>0.99625399999999997</v>
      </c>
      <c r="E861" s="6">
        <v>0.56203899999999996</v>
      </c>
    </row>
    <row r="862" spans="1:5" x14ac:dyDescent="0.3">
      <c r="A862" s="1" t="s">
        <v>337</v>
      </c>
      <c r="B862" s="4">
        <v>4829.33</v>
      </c>
      <c r="C862" s="5">
        <v>14</v>
      </c>
      <c r="D862" s="6">
        <v>0.97992199999999996</v>
      </c>
      <c r="E862" s="6">
        <v>0.77482399999999996</v>
      </c>
    </row>
    <row r="863" spans="1:5" x14ac:dyDescent="0.3">
      <c r="A863" s="1" t="s">
        <v>707</v>
      </c>
      <c r="B863" s="4">
        <v>95208.8</v>
      </c>
      <c r="C863" s="5">
        <v>26</v>
      </c>
      <c r="D863" s="6">
        <v>0.996811</v>
      </c>
      <c r="E863" s="6">
        <v>0.89071500000000003</v>
      </c>
    </row>
    <row r="864" spans="1:5" x14ac:dyDescent="0.3">
      <c r="A864" s="1" t="s">
        <v>1006</v>
      </c>
      <c r="B864" s="4">
        <v>83503.350000000006</v>
      </c>
      <c r="C864" s="5">
        <v>22</v>
      </c>
      <c r="D864" s="6">
        <v>1</v>
      </c>
      <c r="E864" s="6">
        <v>1</v>
      </c>
    </row>
    <row r="865" spans="1:5" x14ac:dyDescent="0.3">
      <c r="A865" s="1" t="s">
        <v>770</v>
      </c>
      <c r="B865" s="4">
        <v>111585.13</v>
      </c>
      <c r="C865" s="5">
        <v>12</v>
      </c>
      <c r="D865" s="6">
        <v>1</v>
      </c>
      <c r="E865" s="6">
        <v>0</v>
      </c>
    </row>
    <row r="866" spans="1:5" x14ac:dyDescent="0.3">
      <c r="A866" s="1" t="s">
        <v>338</v>
      </c>
      <c r="B866" s="4">
        <v>-6565.57</v>
      </c>
      <c r="C866" s="5">
        <v>18</v>
      </c>
      <c r="D866" s="6">
        <v>0.97819400000000001</v>
      </c>
      <c r="E866" s="6">
        <v>0</v>
      </c>
    </row>
    <row r="867" spans="1:5" x14ac:dyDescent="0.3">
      <c r="A867" s="1" t="s">
        <v>184</v>
      </c>
      <c r="B867" s="4">
        <v>-151929.96</v>
      </c>
      <c r="C867" s="5">
        <v>6</v>
      </c>
      <c r="D867" s="6">
        <v>0.96565500000000004</v>
      </c>
      <c r="E867" s="6">
        <v>0.29539599999999999</v>
      </c>
    </row>
    <row r="868" spans="1:5" x14ac:dyDescent="0.3">
      <c r="A868" s="1" t="s">
        <v>708</v>
      </c>
      <c r="B868" s="4">
        <v>72991.740000000005</v>
      </c>
      <c r="C868" s="5">
        <v>19</v>
      </c>
      <c r="D868" s="6">
        <v>0.98527399999999998</v>
      </c>
      <c r="E868" s="6">
        <v>0</v>
      </c>
    </row>
    <row r="869" spans="1:5" x14ac:dyDescent="0.3">
      <c r="A869" s="1" t="s">
        <v>938</v>
      </c>
      <c r="B869" s="4">
        <v>183875.20000000001</v>
      </c>
      <c r="C869" s="5">
        <v>17</v>
      </c>
      <c r="D869" s="6">
        <v>0.995394</v>
      </c>
      <c r="E869" s="6">
        <v>0.49683300000000002</v>
      </c>
    </row>
    <row r="870" spans="1:5" x14ac:dyDescent="0.3">
      <c r="A870" s="1" t="s">
        <v>1084</v>
      </c>
      <c r="B870" s="4">
        <v>80647.320000000007</v>
      </c>
      <c r="C870" s="5">
        <v>19</v>
      </c>
      <c r="D870" s="6">
        <v>0.99271699999999996</v>
      </c>
      <c r="E870" s="6">
        <v>0.98723700000000003</v>
      </c>
    </row>
    <row r="871" spans="1:5" x14ac:dyDescent="0.3">
      <c r="A871" s="1" t="s">
        <v>481</v>
      </c>
      <c r="B871" s="4">
        <v>54241.4</v>
      </c>
      <c r="C871" s="5">
        <v>21</v>
      </c>
      <c r="D871" s="6">
        <v>0.99922299999999997</v>
      </c>
      <c r="E871" s="6">
        <v>0.88474600000000003</v>
      </c>
    </row>
    <row r="872" spans="1:5" x14ac:dyDescent="0.3">
      <c r="A872" s="1" t="s">
        <v>185</v>
      </c>
      <c r="B872" s="4">
        <v>41879.300000000003</v>
      </c>
      <c r="C872" s="5">
        <v>23</v>
      </c>
      <c r="D872" s="6">
        <v>0.99277599999999999</v>
      </c>
      <c r="E872" s="6">
        <v>1</v>
      </c>
    </row>
    <row r="873" spans="1:5" x14ac:dyDescent="0.3">
      <c r="A873" s="1" t="s">
        <v>418</v>
      </c>
      <c r="B873" s="4">
        <v>133351.88</v>
      </c>
      <c r="C873" s="5">
        <v>183</v>
      </c>
      <c r="D873" s="6">
        <v>0.97683200000000003</v>
      </c>
      <c r="E873" s="6">
        <v>0.90160399999999996</v>
      </c>
    </row>
    <row r="874" spans="1:5" x14ac:dyDescent="0.3">
      <c r="A874" s="1" t="s">
        <v>1739</v>
      </c>
      <c r="B874" s="4">
        <v>33117.24</v>
      </c>
      <c r="C874" s="5">
        <v>10</v>
      </c>
      <c r="D874" s="6">
        <v>1</v>
      </c>
      <c r="E874" s="6" t="s">
        <v>1414</v>
      </c>
    </row>
    <row r="875" spans="1:5" x14ac:dyDescent="0.3">
      <c r="A875" s="1" t="s">
        <v>1007</v>
      </c>
      <c r="B875" s="4">
        <v>-63900.65</v>
      </c>
      <c r="C875" s="5">
        <v>15</v>
      </c>
      <c r="D875" s="6">
        <v>0.97980800000000001</v>
      </c>
      <c r="E875" s="6">
        <v>0.59301099999999995</v>
      </c>
    </row>
    <row r="876" spans="1:5" x14ac:dyDescent="0.3">
      <c r="A876" s="1" t="s">
        <v>1158</v>
      </c>
      <c r="B876" s="4">
        <v>4712.93</v>
      </c>
      <c r="C876" s="5">
        <v>22</v>
      </c>
      <c r="D876" s="6">
        <v>0.964642</v>
      </c>
      <c r="E876" s="6">
        <v>0.98350000000000004</v>
      </c>
    </row>
    <row r="877" spans="1:5" x14ac:dyDescent="0.3">
      <c r="A877" s="1" t="s">
        <v>43</v>
      </c>
      <c r="B877" s="4">
        <v>-196285.62</v>
      </c>
      <c r="C877" s="5">
        <v>21</v>
      </c>
      <c r="D877" s="6">
        <v>0.99224900000000005</v>
      </c>
      <c r="E877" s="6">
        <v>0.38945400000000002</v>
      </c>
    </row>
    <row r="878" spans="1:5" x14ac:dyDescent="0.3">
      <c r="A878" s="1" t="s">
        <v>856</v>
      </c>
      <c r="B878" s="4">
        <v>-3049.25</v>
      </c>
      <c r="C878" s="5">
        <v>107</v>
      </c>
      <c r="D878" s="6">
        <v>0.99626800000000004</v>
      </c>
      <c r="E878" s="6">
        <v>0.50452600000000003</v>
      </c>
    </row>
    <row r="879" spans="1:5" x14ac:dyDescent="0.3">
      <c r="A879" s="1" t="s">
        <v>1740</v>
      </c>
      <c r="B879" s="4">
        <v>21156.95</v>
      </c>
      <c r="C879" s="5">
        <v>43</v>
      </c>
      <c r="D879" s="6">
        <v>1</v>
      </c>
      <c r="E879" s="6" t="s">
        <v>1414</v>
      </c>
    </row>
    <row r="880" spans="1:5" x14ac:dyDescent="0.3">
      <c r="A880" s="1" t="s">
        <v>2100</v>
      </c>
      <c r="B880" s="4">
        <v>0</v>
      </c>
      <c r="C880" s="5">
        <v>0</v>
      </c>
      <c r="D880" s="6" t="s">
        <v>1414</v>
      </c>
      <c r="E880" s="6" t="s">
        <v>1414</v>
      </c>
    </row>
    <row r="881" spans="1:5" x14ac:dyDescent="0.3">
      <c r="A881" s="1" t="s">
        <v>108</v>
      </c>
      <c r="B881" s="4">
        <v>-27865.860000000099</v>
      </c>
      <c r="C881" s="5">
        <v>13</v>
      </c>
      <c r="D881" s="6">
        <v>0.96592699999999998</v>
      </c>
      <c r="E881" s="6">
        <v>0.158578</v>
      </c>
    </row>
    <row r="882" spans="1:5" x14ac:dyDescent="0.3">
      <c r="A882" s="1" t="s">
        <v>570</v>
      </c>
      <c r="B882" s="4">
        <v>85316.4</v>
      </c>
      <c r="C882" s="5">
        <v>14</v>
      </c>
      <c r="D882" s="6">
        <v>0.99282099999999995</v>
      </c>
      <c r="E882" s="6">
        <v>0.66944499999999996</v>
      </c>
    </row>
    <row r="883" spans="1:5" x14ac:dyDescent="0.3">
      <c r="A883" s="1" t="s">
        <v>637</v>
      </c>
      <c r="B883" s="4">
        <v>33269.75</v>
      </c>
      <c r="C883" s="5">
        <v>18</v>
      </c>
      <c r="D883" s="6">
        <v>0.98858100000000004</v>
      </c>
      <c r="E883" s="6">
        <v>0.93657900000000005</v>
      </c>
    </row>
    <row r="884" spans="1:5" x14ac:dyDescent="0.3">
      <c r="A884" s="1" t="s">
        <v>571</v>
      </c>
      <c r="B884" s="4">
        <v>-20883.509999999998</v>
      </c>
      <c r="C884" s="5">
        <v>12</v>
      </c>
      <c r="D884" s="6">
        <v>0.93826500000000002</v>
      </c>
      <c r="E884" s="6">
        <v>0.115969</v>
      </c>
    </row>
    <row r="885" spans="1:5" x14ac:dyDescent="0.3">
      <c r="A885" s="1" t="s">
        <v>186</v>
      </c>
      <c r="B885" s="4">
        <v>-120966.5</v>
      </c>
      <c r="C885" s="5">
        <v>21</v>
      </c>
      <c r="D885" s="6">
        <v>0.98510900000000001</v>
      </c>
      <c r="E885" s="6">
        <v>0</v>
      </c>
    </row>
    <row r="886" spans="1:5" x14ac:dyDescent="0.3">
      <c r="A886" s="1" t="s">
        <v>1085</v>
      </c>
      <c r="B886" s="4">
        <v>57377.56</v>
      </c>
      <c r="C886" s="5">
        <v>19</v>
      </c>
      <c r="D886" s="6">
        <v>0.99883599999999995</v>
      </c>
      <c r="E886" s="6">
        <v>0.89346000000000003</v>
      </c>
    </row>
    <row r="887" spans="1:5" x14ac:dyDescent="0.3">
      <c r="A887" s="1" t="s">
        <v>939</v>
      </c>
      <c r="B887" s="4">
        <v>-45479.47</v>
      </c>
      <c r="C887" s="5">
        <v>16</v>
      </c>
      <c r="D887" s="6">
        <v>1</v>
      </c>
      <c r="E887" s="6">
        <v>0.92283700000000002</v>
      </c>
    </row>
    <row r="888" spans="1:5" x14ac:dyDescent="0.3">
      <c r="A888" s="1" t="s">
        <v>2101</v>
      </c>
      <c r="B888" s="4">
        <v>-44050.85</v>
      </c>
      <c r="C888" s="5">
        <v>32</v>
      </c>
      <c r="D888" s="6">
        <v>0.807894</v>
      </c>
      <c r="E888" s="6">
        <v>0.24490300000000001</v>
      </c>
    </row>
    <row r="889" spans="1:5" x14ac:dyDescent="0.3">
      <c r="A889" s="1" t="s">
        <v>771</v>
      </c>
      <c r="B889" s="4">
        <v>-790.94000000000199</v>
      </c>
      <c r="C889" s="5">
        <v>0</v>
      </c>
      <c r="D889" s="6">
        <v>0.91248200000000002</v>
      </c>
      <c r="E889" s="6" t="s">
        <v>1414</v>
      </c>
    </row>
    <row r="890" spans="1:5" x14ac:dyDescent="0.3">
      <c r="A890" s="1" t="s">
        <v>1496</v>
      </c>
      <c r="B890" s="4">
        <v>-5405.22</v>
      </c>
      <c r="C890" s="5">
        <v>53</v>
      </c>
      <c r="D890" s="6">
        <v>0.97531800000000002</v>
      </c>
      <c r="E890" s="6">
        <v>0.51399399999999995</v>
      </c>
    </row>
    <row r="891" spans="1:5" x14ac:dyDescent="0.3">
      <c r="A891" s="1" t="s">
        <v>2102</v>
      </c>
      <c r="B891" s="4">
        <v>58161.73</v>
      </c>
      <c r="C891" s="5">
        <v>52</v>
      </c>
      <c r="D891" s="6">
        <v>0.981294</v>
      </c>
      <c r="E891" s="6">
        <v>0.78345200000000004</v>
      </c>
    </row>
    <row r="892" spans="1:5" x14ac:dyDescent="0.3">
      <c r="A892" s="1" t="s">
        <v>109</v>
      </c>
      <c r="B892" s="4">
        <v>25444.07</v>
      </c>
      <c r="C892" s="5">
        <v>18</v>
      </c>
      <c r="D892" s="6">
        <v>0.96338000000000001</v>
      </c>
      <c r="E892" s="6">
        <v>0.24815799999999999</v>
      </c>
    </row>
    <row r="893" spans="1:5" x14ac:dyDescent="0.3">
      <c r="A893" s="1" t="s">
        <v>1008</v>
      </c>
      <c r="B893" s="4">
        <v>19660.57</v>
      </c>
      <c r="C893" s="5">
        <v>22</v>
      </c>
      <c r="D893" s="6">
        <v>0.99906200000000001</v>
      </c>
      <c r="E893" s="6">
        <v>1</v>
      </c>
    </row>
    <row r="894" spans="1:5" x14ac:dyDescent="0.3">
      <c r="A894" s="1" t="s">
        <v>1497</v>
      </c>
      <c r="B894" s="4">
        <v>-11344.26</v>
      </c>
      <c r="C894" s="5">
        <v>64</v>
      </c>
      <c r="D894" s="6">
        <v>0.96579400000000004</v>
      </c>
      <c r="E894" s="6">
        <v>1</v>
      </c>
    </row>
    <row r="895" spans="1:5" x14ac:dyDescent="0.3">
      <c r="A895" s="1" t="s">
        <v>1741</v>
      </c>
      <c r="B895" s="4">
        <v>-27820.63</v>
      </c>
      <c r="C895" s="5">
        <v>8</v>
      </c>
      <c r="D895" s="6">
        <v>0.98209999999999997</v>
      </c>
      <c r="E895" s="6">
        <v>0.84431400000000001</v>
      </c>
    </row>
    <row r="896" spans="1:5" x14ac:dyDescent="0.3">
      <c r="A896" s="1" t="s">
        <v>1498</v>
      </c>
      <c r="B896" s="4">
        <v>-156306.4</v>
      </c>
      <c r="C896" s="5">
        <v>21</v>
      </c>
      <c r="D896" s="6">
        <v>0.97878399999999999</v>
      </c>
      <c r="E896" s="6">
        <v>0.99156900000000003</v>
      </c>
    </row>
    <row r="897" spans="1:5" x14ac:dyDescent="0.3">
      <c r="A897" s="1" t="s">
        <v>110</v>
      </c>
      <c r="B897" s="4">
        <v>-186848.01</v>
      </c>
      <c r="C897" s="5">
        <v>12</v>
      </c>
      <c r="D897" s="6">
        <v>0.883351</v>
      </c>
      <c r="E897" s="6">
        <v>0.38716</v>
      </c>
    </row>
    <row r="898" spans="1:5" x14ac:dyDescent="0.3">
      <c r="A898" s="1" t="s">
        <v>1499</v>
      </c>
      <c r="B898" s="4">
        <v>116337.91</v>
      </c>
      <c r="C898" s="5">
        <v>19</v>
      </c>
      <c r="D898" s="6">
        <v>1</v>
      </c>
      <c r="E898" s="6" t="s">
        <v>1414</v>
      </c>
    </row>
    <row r="899" spans="1:5" x14ac:dyDescent="0.3">
      <c r="A899" s="1" t="s">
        <v>572</v>
      </c>
      <c r="B899" s="4">
        <v>-168700.18</v>
      </c>
      <c r="C899" s="5">
        <v>16</v>
      </c>
      <c r="D899" s="6">
        <v>0.99920699999999996</v>
      </c>
      <c r="E899" s="6">
        <v>0.54146899999999998</v>
      </c>
    </row>
    <row r="900" spans="1:5" x14ac:dyDescent="0.3">
      <c r="A900" s="1" t="s">
        <v>1500</v>
      </c>
      <c r="B900" s="4">
        <v>134756.17000000001</v>
      </c>
      <c r="C900" s="5">
        <v>20</v>
      </c>
      <c r="D900" s="6">
        <v>1</v>
      </c>
      <c r="E900" s="6">
        <v>1</v>
      </c>
    </row>
    <row r="901" spans="1:5" x14ac:dyDescent="0.3">
      <c r="A901" s="1" t="s">
        <v>44</v>
      </c>
      <c r="B901" s="4">
        <v>78157.5</v>
      </c>
      <c r="C901" s="5">
        <v>20</v>
      </c>
      <c r="D901" s="6">
        <v>1</v>
      </c>
      <c r="E901" s="6">
        <v>1</v>
      </c>
    </row>
    <row r="902" spans="1:5" x14ac:dyDescent="0.3">
      <c r="A902" s="1" t="s">
        <v>187</v>
      </c>
      <c r="B902" s="4">
        <v>23933.059999999899</v>
      </c>
      <c r="C902" s="5">
        <v>19</v>
      </c>
      <c r="D902" s="6">
        <v>0.99723200000000001</v>
      </c>
      <c r="E902" s="6">
        <v>1</v>
      </c>
    </row>
    <row r="903" spans="1:5" x14ac:dyDescent="0.3">
      <c r="A903" s="1" t="s">
        <v>1957</v>
      </c>
      <c r="B903" s="4">
        <v>128696.05</v>
      </c>
      <c r="C903" s="5">
        <v>17</v>
      </c>
      <c r="D903" s="6">
        <v>1</v>
      </c>
      <c r="E903" s="6" t="s">
        <v>1414</v>
      </c>
    </row>
    <row r="904" spans="1:5" x14ac:dyDescent="0.3">
      <c r="A904" s="1" t="s">
        <v>940</v>
      </c>
      <c r="B904" s="4">
        <v>-76023.27</v>
      </c>
      <c r="C904" s="5">
        <v>8</v>
      </c>
      <c r="D904" s="6">
        <v>0.99895400000000001</v>
      </c>
      <c r="E904" s="6">
        <v>0.99191200000000002</v>
      </c>
    </row>
    <row r="905" spans="1:5" x14ac:dyDescent="0.3">
      <c r="A905" s="1" t="s">
        <v>188</v>
      </c>
      <c r="B905" s="4">
        <v>108007</v>
      </c>
      <c r="C905" s="5">
        <v>139</v>
      </c>
      <c r="D905" s="6">
        <v>0.949075</v>
      </c>
      <c r="E905" s="6">
        <v>1</v>
      </c>
    </row>
    <row r="906" spans="1:5" x14ac:dyDescent="0.3">
      <c r="A906" s="1" t="s">
        <v>1159</v>
      </c>
      <c r="B906" s="4">
        <v>107578.8</v>
      </c>
      <c r="C906" s="5">
        <v>20</v>
      </c>
      <c r="D906" s="6">
        <v>0.99975499999999995</v>
      </c>
      <c r="E906" s="6" t="s">
        <v>1414</v>
      </c>
    </row>
    <row r="907" spans="1:5" x14ac:dyDescent="0.3">
      <c r="A907" s="1" t="s">
        <v>1009</v>
      </c>
      <c r="B907" s="4">
        <v>66751.23</v>
      </c>
      <c r="C907" s="5">
        <v>22</v>
      </c>
      <c r="D907" s="6">
        <v>0.99213600000000002</v>
      </c>
      <c r="E907" s="6">
        <v>0.89235900000000001</v>
      </c>
    </row>
    <row r="908" spans="1:5" x14ac:dyDescent="0.3">
      <c r="A908" s="1" t="s">
        <v>709</v>
      </c>
      <c r="B908" s="4">
        <v>-11971.85</v>
      </c>
      <c r="C908" s="5">
        <v>16</v>
      </c>
      <c r="D908" s="6">
        <v>0.98633000000000004</v>
      </c>
      <c r="E908" s="6">
        <v>0.28539999999999999</v>
      </c>
    </row>
    <row r="909" spans="1:5" x14ac:dyDescent="0.3">
      <c r="A909" s="1" t="s">
        <v>45</v>
      </c>
      <c r="B909" s="4">
        <v>-105619.12</v>
      </c>
      <c r="C909" s="5">
        <v>17</v>
      </c>
      <c r="D909" s="6">
        <v>0.97696899999999998</v>
      </c>
      <c r="E909" s="6">
        <v>1</v>
      </c>
    </row>
    <row r="910" spans="1:5" x14ac:dyDescent="0.3">
      <c r="A910" s="1" t="s">
        <v>772</v>
      </c>
      <c r="B910" s="4">
        <v>-75787.31</v>
      </c>
      <c r="C910" s="5">
        <v>21</v>
      </c>
      <c r="D910" s="6">
        <v>0.99255899999999997</v>
      </c>
      <c r="E910" s="6" t="s">
        <v>1414</v>
      </c>
    </row>
    <row r="911" spans="1:5" x14ac:dyDescent="0.3">
      <c r="A911" s="1" t="s">
        <v>1501</v>
      </c>
      <c r="B911" s="4">
        <v>219802.37</v>
      </c>
      <c r="C911" s="5">
        <v>17</v>
      </c>
      <c r="D911" s="6">
        <v>1</v>
      </c>
      <c r="E911" s="6" t="s">
        <v>1414</v>
      </c>
    </row>
    <row r="912" spans="1:5" x14ac:dyDescent="0.3">
      <c r="A912" s="1" t="s">
        <v>1160</v>
      </c>
      <c r="B912" s="4">
        <v>223404.72</v>
      </c>
      <c r="C912" s="5">
        <v>20</v>
      </c>
      <c r="D912" s="6">
        <v>1</v>
      </c>
      <c r="E912" s="6">
        <v>0.90718699999999997</v>
      </c>
    </row>
    <row r="913" spans="1:5" x14ac:dyDescent="0.3">
      <c r="A913" s="1" t="s">
        <v>189</v>
      </c>
      <c r="B913" s="4">
        <v>99542.63</v>
      </c>
      <c r="C913" s="5">
        <v>20</v>
      </c>
      <c r="D913" s="6">
        <v>0.99963599999999997</v>
      </c>
      <c r="E913" s="6">
        <v>1</v>
      </c>
    </row>
    <row r="914" spans="1:5" x14ac:dyDescent="0.3">
      <c r="A914" s="1" t="s">
        <v>710</v>
      </c>
      <c r="B914" s="4">
        <v>70552.95</v>
      </c>
      <c r="C914" s="5">
        <v>23</v>
      </c>
      <c r="D914" s="6">
        <v>1</v>
      </c>
      <c r="E914" s="6">
        <v>1</v>
      </c>
    </row>
    <row r="915" spans="1:5" x14ac:dyDescent="0.3">
      <c r="A915" s="1" t="s">
        <v>941</v>
      </c>
      <c r="B915" s="4">
        <v>132331.37</v>
      </c>
      <c r="C915" s="5">
        <v>20</v>
      </c>
      <c r="D915" s="6">
        <v>1</v>
      </c>
      <c r="E915" s="6">
        <v>1</v>
      </c>
    </row>
    <row r="916" spans="1:5" x14ac:dyDescent="0.3">
      <c r="A916" s="1" t="s">
        <v>339</v>
      </c>
      <c r="B916" s="4">
        <v>21949.5</v>
      </c>
      <c r="C916" s="5">
        <v>12</v>
      </c>
      <c r="D916" s="6">
        <v>0.98765000000000003</v>
      </c>
      <c r="E916" s="6">
        <v>0.98338099999999995</v>
      </c>
    </row>
    <row r="917" spans="1:5" x14ac:dyDescent="0.3">
      <c r="A917" s="1" t="s">
        <v>1742</v>
      </c>
      <c r="B917" s="4">
        <v>-21822.68</v>
      </c>
      <c r="C917" s="5">
        <v>30</v>
      </c>
      <c r="D917" s="6">
        <v>0.94932099999999997</v>
      </c>
      <c r="E917" s="6">
        <v>0.52726899999999999</v>
      </c>
    </row>
    <row r="918" spans="1:5" x14ac:dyDescent="0.3">
      <c r="A918" s="1" t="s">
        <v>1743</v>
      </c>
      <c r="B918" s="4">
        <v>17715.45</v>
      </c>
      <c r="C918" s="5">
        <v>30</v>
      </c>
      <c r="D918" s="6">
        <v>1</v>
      </c>
      <c r="E918" s="6">
        <v>0</v>
      </c>
    </row>
    <row r="919" spans="1:5" x14ac:dyDescent="0.3">
      <c r="A919" s="1" t="s">
        <v>1744</v>
      </c>
      <c r="B919" s="4">
        <v>74458.48</v>
      </c>
      <c r="C919" s="5">
        <v>14</v>
      </c>
      <c r="D919" s="6">
        <v>1</v>
      </c>
      <c r="E919" s="6" t="s">
        <v>1414</v>
      </c>
    </row>
    <row r="920" spans="1:5" x14ac:dyDescent="0.3">
      <c r="A920" s="1" t="s">
        <v>111</v>
      </c>
      <c r="B920" s="4">
        <v>52761.66</v>
      </c>
      <c r="C920" s="5">
        <v>23</v>
      </c>
      <c r="D920" s="6">
        <v>0.99366200000000005</v>
      </c>
      <c r="E920" s="6">
        <v>1</v>
      </c>
    </row>
    <row r="921" spans="1:5" x14ac:dyDescent="0.3">
      <c r="A921" s="1" t="s">
        <v>942</v>
      </c>
      <c r="B921" s="4">
        <v>-173676.54</v>
      </c>
      <c r="C921" s="5">
        <v>15</v>
      </c>
      <c r="D921" s="6">
        <v>0.81543699999999997</v>
      </c>
      <c r="E921" s="6">
        <v>1</v>
      </c>
    </row>
    <row r="922" spans="1:5" x14ac:dyDescent="0.3">
      <c r="A922" s="1" t="s">
        <v>773</v>
      </c>
      <c r="B922" s="4">
        <v>43441.81</v>
      </c>
      <c r="C922" s="5">
        <v>27</v>
      </c>
      <c r="D922" s="6">
        <v>0.99864600000000003</v>
      </c>
      <c r="E922" s="6">
        <v>1</v>
      </c>
    </row>
    <row r="923" spans="1:5" x14ac:dyDescent="0.3">
      <c r="A923" s="1" t="s">
        <v>1161</v>
      </c>
      <c r="B923" s="4">
        <v>-40522.43</v>
      </c>
      <c r="C923" s="5">
        <v>23</v>
      </c>
      <c r="D923" s="6">
        <v>0.99170000000000003</v>
      </c>
      <c r="E923" s="6">
        <v>1</v>
      </c>
    </row>
    <row r="924" spans="1:5" x14ac:dyDescent="0.3">
      <c r="A924" s="1" t="s">
        <v>774</v>
      </c>
      <c r="B924" s="4">
        <v>-142955.57</v>
      </c>
      <c r="C924" s="5">
        <v>0</v>
      </c>
      <c r="D924" s="6">
        <v>0.85545099999999996</v>
      </c>
      <c r="E924" s="6">
        <v>0.36751</v>
      </c>
    </row>
    <row r="925" spans="1:5" x14ac:dyDescent="0.3">
      <c r="A925" s="1" t="s">
        <v>1502</v>
      </c>
      <c r="B925" s="4">
        <v>-18605.02</v>
      </c>
      <c r="C925" s="5">
        <v>56</v>
      </c>
      <c r="D925" s="6">
        <v>0.99204199999999998</v>
      </c>
      <c r="E925" s="6">
        <v>1</v>
      </c>
    </row>
    <row r="926" spans="1:5" x14ac:dyDescent="0.3">
      <c r="A926" s="1" t="s">
        <v>2103</v>
      </c>
      <c r="B926" s="4">
        <v>49313.67</v>
      </c>
      <c r="C926" s="5">
        <v>10</v>
      </c>
      <c r="D926" s="6">
        <v>1</v>
      </c>
      <c r="E926" s="6" t="s">
        <v>1414</v>
      </c>
    </row>
    <row r="927" spans="1:5" x14ac:dyDescent="0.3">
      <c r="A927" s="1" t="s">
        <v>2104</v>
      </c>
      <c r="B927" s="4">
        <v>-84694.34</v>
      </c>
      <c r="C927" s="5">
        <v>0</v>
      </c>
      <c r="D927" s="6">
        <v>1</v>
      </c>
      <c r="E927" s="6">
        <v>0.73167099999999996</v>
      </c>
    </row>
    <row r="928" spans="1:5" x14ac:dyDescent="0.3">
      <c r="A928" s="1" t="s">
        <v>775</v>
      </c>
      <c r="B928" s="4">
        <v>24205.99</v>
      </c>
      <c r="C928" s="5">
        <v>17</v>
      </c>
      <c r="D928" s="6">
        <v>0.99077899999999997</v>
      </c>
      <c r="E928" s="6">
        <v>0.95106900000000005</v>
      </c>
    </row>
    <row r="929" spans="1:5" x14ac:dyDescent="0.3">
      <c r="A929" s="1" t="s">
        <v>1503</v>
      </c>
      <c r="B929" s="4">
        <v>73554.34</v>
      </c>
      <c r="C929" s="5">
        <v>13</v>
      </c>
      <c r="D929" s="6">
        <v>1</v>
      </c>
      <c r="E929" s="6">
        <v>0</v>
      </c>
    </row>
    <row r="930" spans="1:5" x14ac:dyDescent="0.3">
      <c r="A930" s="1" t="s">
        <v>1745</v>
      </c>
      <c r="B930" s="4">
        <v>-118112.94</v>
      </c>
      <c r="C930" s="5">
        <v>0</v>
      </c>
      <c r="D930" s="6">
        <v>0.99799899999999997</v>
      </c>
      <c r="E930" s="6">
        <v>0.91495899999999997</v>
      </c>
    </row>
    <row r="931" spans="1:5" x14ac:dyDescent="0.3">
      <c r="A931" s="1" t="s">
        <v>1010</v>
      </c>
      <c r="B931" s="4">
        <v>24275.46</v>
      </c>
      <c r="C931" s="5">
        <v>60</v>
      </c>
      <c r="D931" s="6">
        <v>1</v>
      </c>
      <c r="E931" s="6" t="s">
        <v>1414</v>
      </c>
    </row>
    <row r="932" spans="1:5" x14ac:dyDescent="0.3">
      <c r="A932" s="1" t="s">
        <v>112</v>
      </c>
      <c r="B932" s="4">
        <v>24540.42</v>
      </c>
      <c r="C932" s="5">
        <v>19</v>
      </c>
      <c r="D932" s="6">
        <v>0.99924400000000002</v>
      </c>
      <c r="E932" s="6">
        <v>1</v>
      </c>
    </row>
    <row r="933" spans="1:5" x14ac:dyDescent="0.3">
      <c r="A933" s="1" t="s">
        <v>482</v>
      </c>
      <c r="B933" s="4">
        <v>-11264.57</v>
      </c>
      <c r="C933" s="5">
        <v>55</v>
      </c>
      <c r="D933" s="6">
        <v>0.98321700000000001</v>
      </c>
      <c r="E933" s="6">
        <v>0.55983700000000003</v>
      </c>
    </row>
    <row r="934" spans="1:5" x14ac:dyDescent="0.3">
      <c r="A934" s="1" t="s">
        <v>46</v>
      </c>
      <c r="B934" s="4">
        <v>-37870.949999999997</v>
      </c>
      <c r="C934" s="5">
        <v>8</v>
      </c>
      <c r="D934" s="6">
        <v>0.99672499999999997</v>
      </c>
      <c r="E934" s="6">
        <v>0.82722600000000002</v>
      </c>
    </row>
    <row r="935" spans="1:5" x14ac:dyDescent="0.3">
      <c r="A935" s="1" t="s">
        <v>1746</v>
      </c>
      <c r="B935" s="4">
        <v>12086.24</v>
      </c>
      <c r="C935" s="5">
        <v>13</v>
      </c>
      <c r="D935" s="6">
        <v>0.94903099999999996</v>
      </c>
      <c r="E935" s="6" t="s">
        <v>1414</v>
      </c>
    </row>
    <row r="936" spans="1:5" x14ac:dyDescent="0.3">
      <c r="A936" s="1" t="s">
        <v>2105</v>
      </c>
      <c r="B936" s="4">
        <v>57457.02</v>
      </c>
      <c r="C936" s="5">
        <v>19</v>
      </c>
      <c r="D936" s="6">
        <v>1</v>
      </c>
      <c r="E936" s="6" t="s">
        <v>1414</v>
      </c>
    </row>
    <row r="937" spans="1:5" x14ac:dyDescent="0.3">
      <c r="A937" s="1" t="s">
        <v>1162</v>
      </c>
      <c r="B937" s="4">
        <v>-100256.36</v>
      </c>
      <c r="C937" s="5">
        <v>17</v>
      </c>
      <c r="D937" s="6">
        <v>0.99465300000000001</v>
      </c>
      <c r="E937" s="6">
        <v>0</v>
      </c>
    </row>
    <row r="938" spans="1:5" x14ac:dyDescent="0.3">
      <c r="A938" s="1" t="s">
        <v>711</v>
      </c>
      <c r="B938" s="4">
        <v>12479.81</v>
      </c>
      <c r="C938" s="5">
        <v>14</v>
      </c>
      <c r="D938" s="6">
        <v>0.99741500000000005</v>
      </c>
      <c r="E938" s="6">
        <v>0.56356099999999998</v>
      </c>
    </row>
    <row r="939" spans="1:5" x14ac:dyDescent="0.3">
      <c r="A939" s="1" t="s">
        <v>1086</v>
      </c>
      <c r="B939" s="4">
        <v>29680.94</v>
      </c>
      <c r="C939" s="5">
        <v>29</v>
      </c>
      <c r="D939" s="6">
        <v>0.99727399999999999</v>
      </c>
      <c r="E939" s="6">
        <v>0.97170599999999996</v>
      </c>
    </row>
    <row r="940" spans="1:5" x14ac:dyDescent="0.3">
      <c r="A940" s="1" t="s">
        <v>419</v>
      </c>
      <c r="B940" s="4">
        <v>49139.09</v>
      </c>
      <c r="C940" s="5">
        <v>22</v>
      </c>
      <c r="D940" s="6">
        <v>0.99646999999999997</v>
      </c>
      <c r="E940" s="6">
        <v>1</v>
      </c>
    </row>
    <row r="941" spans="1:5" x14ac:dyDescent="0.3">
      <c r="A941" s="1" t="s">
        <v>638</v>
      </c>
      <c r="B941" s="4">
        <v>23429</v>
      </c>
      <c r="C941" s="5">
        <v>20</v>
      </c>
      <c r="D941" s="6">
        <v>1</v>
      </c>
      <c r="E941" s="6">
        <v>0.87534500000000004</v>
      </c>
    </row>
    <row r="942" spans="1:5" x14ac:dyDescent="0.3">
      <c r="A942" s="1" t="s">
        <v>2106</v>
      </c>
      <c r="B942" s="4">
        <v>170910</v>
      </c>
      <c r="C942" s="5">
        <v>11</v>
      </c>
      <c r="D942" s="6" t="s">
        <v>1414</v>
      </c>
      <c r="E942" s="6" t="s">
        <v>1414</v>
      </c>
    </row>
    <row r="943" spans="1:5" x14ac:dyDescent="0.3">
      <c r="A943" s="1" t="s">
        <v>776</v>
      </c>
      <c r="B943" s="4">
        <v>160912.07999999999</v>
      </c>
      <c r="C943" s="5">
        <v>18</v>
      </c>
      <c r="D943" s="6">
        <v>1</v>
      </c>
      <c r="E943" s="6" t="s">
        <v>1414</v>
      </c>
    </row>
    <row r="944" spans="1:5" x14ac:dyDescent="0.3">
      <c r="A944" s="1" t="s">
        <v>943</v>
      </c>
      <c r="B944" s="4">
        <v>-47536.7</v>
      </c>
      <c r="C944" s="5">
        <v>43</v>
      </c>
      <c r="D944" s="6">
        <v>0.96939799999999998</v>
      </c>
      <c r="E944" s="6">
        <v>0.54304300000000005</v>
      </c>
    </row>
    <row r="945" spans="1:5" x14ac:dyDescent="0.3">
      <c r="A945" s="1" t="s">
        <v>47</v>
      </c>
      <c r="B945" s="4">
        <v>-61299.519999999997</v>
      </c>
      <c r="C945" s="5">
        <v>10</v>
      </c>
      <c r="D945" s="6">
        <v>0.990228</v>
      </c>
      <c r="E945" s="6">
        <v>0.65079500000000001</v>
      </c>
    </row>
    <row r="946" spans="1:5" x14ac:dyDescent="0.3">
      <c r="A946" s="1" t="s">
        <v>113</v>
      </c>
      <c r="B946" s="4">
        <v>-107416.07</v>
      </c>
      <c r="C946" s="5">
        <v>7</v>
      </c>
      <c r="D946" s="6">
        <v>0.98216499999999995</v>
      </c>
      <c r="E946" s="6">
        <v>0.75558099999999995</v>
      </c>
    </row>
    <row r="947" spans="1:5" x14ac:dyDescent="0.3">
      <c r="A947" s="1" t="s">
        <v>573</v>
      </c>
      <c r="B947" s="4">
        <v>96923.43</v>
      </c>
      <c r="C947" s="5">
        <v>20</v>
      </c>
      <c r="D947" s="6">
        <v>0.99653999999999998</v>
      </c>
      <c r="E947" s="6">
        <v>0.96536999999999995</v>
      </c>
    </row>
    <row r="948" spans="1:5" x14ac:dyDescent="0.3">
      <c r="A948" s="1" t="s">
        <v>1747</v>
      </c>
      <c r="B948" s="4">
        <v>56378.11</v>
      </c>
      <c r="C948" s="5">
        <v>9</v>
      </c>
      <c r="D948" s="6">
        <v>1</v>
      </c>
      <c r="E948" s="6" t="s">
        <v>1414</v>
      </c>
    </row>
    <row r="949" spans="1:5" x14ac:dyDescent="0.3">
      <c r="A949" s="1" t="s">
        <v>1087</v>
      </c>
      <c r="B949" s="4">
        <v>72158.09</v>
      </c>
      <c r="C949" s="5">
        <v>18</v>
      </c>
      <c r="D949" s="6">
        <v>0.99702400000000002</v>
      </c>
      <c r="E949" s="6">
        <v>0.95009500000000002</v>
      </c>
    </row>
    <row r="950" spans="1:5" x14ac:dyDescent="0.3">
      <c r="A950" s="1" t="s">
        <v>1504</v>
      </c>
      <c r="B950" s="4">
        <v>17835.669999999998</v>
      </c>
      <c r="C950" s="5">
        <v>64</v>
      </c>
      <c r="D950" s="6">
        <v>0.994506</v>
      </c>
      <c r="E950" s="6">
        <v>0.82883499999999999</v>
      </c>
    </row>
    <row r="951" spans="1:5" x14ac:dyDescent="0.3">
      <c r="A951" s="1" t="s">
        <v>1505</v>
      </c>
      <c r="B951" s="4">
        <v>-61465.07</v>
      </c>
      <c r="C951" s="5">
        <v>56</v>
      </c>
      <c r="D951" s="6">
        <v>0.99613399999999996</v>
      </c>
      <c r="E951" s="6">
        <v>1</v>
      </c>
    </row>
    <row r="952" spans="1:5" x14ac:dyDescent="0.3">
      <c r="A952" s="1" t="s">
        <v>1506</v>
      </c>
      <c r="B952" s="4">
        <v>12159.33</v>
      </c>
      <c r="C952" s="5">
        <v>15</v>
      </c>
      <c r="D952" s="6">
        <v>1</v>
      </c>
      <c r="E952" s="6">
        <v>0.79522400000000004</v>
      </c>
    </row>
    <row r="953" spans="1:5" x14ac:dyDescent="0.3">
      <c r="A953" s="1" t="s">
        <v>340</v>
      </c>
      <c r="B953" s="4">
        <v>31389.9</v>
      </c>
      <c r="C953" s="5">
        <v>96</v>
      </c>
      <c r="D953" s="6">
        <v>0.96622600000000003</v>
      </c>
      <c r="E953" s="6">
        <v>0.82173200000000002</v>
      </c>
    </row>
    <row r="954" spans="1:5" x14ac:dyDescent="0.3">
      <c r="A954" s="1" t="s">
        <v>574</v>
      </c>
      <c r="B954" s="4">
        <v>63380.73</v>
      </c>
      <c r="C954" s="5">
        <v>20</v>
      </c>
      <c r="D954" s="6">
        <v>0.99948099999999995</v>
      </c>
      <c r="E954" s="6">
        <v>0.84059799999999996</v>
      </c>
    </row>
    <row r="955" spans="1:5" x14ac:dyDescent="0.3">
      <c r="A955" s="1" t="s">
        <v>483</v>
      </c>
      <c r="B955" s="4">
        <v>29416.81</v>
      </c>
      <c r="C955" s="5">
        <v>64</v>
      </c>
      <c r="D955" s="6">
        <v>0.99817199999999995</v>
      </c>
      <c r="E955" s="6">
        <v>0.78798000000000001</v>
      </c>
    </row>
    <row r="956" spans="1:5" x14ac:dyDescent="0.3">
      <c r="A956" s="1" t="s">
        <v>1507</v>
      </c>
      <c r="B956" s="4">
        <v>54639.57</v>
      </c>
      <c r="C956" s="5">
        <v>17</v>
      </c>
      <c r="D956" s="6">
        <v>1</v>
      </c>
      <c r="E956" s="6" t="s">
        <v>1414</v>
      </c>
    </row>
    <row r="957" spans="1:5" x14ac:dyDescent="0.3">
      <c r="A957" s="1" t="s">
        <v>1508</v>
      </c>
      <c r="B957" s="4">
        <v>166005.44</v>
      </c>
      <c r="C957" s="5">
        <v>13</v>
      </c>
      <c r="D957" s="6">
        <v>1</v>
      </c>
      <c r="E957" s="6" t="s">
        <v>1414</v>
      </c>
    </row>
    <row r="958" spans="1:5" x14ac:dyDescent="0.3">
      <c r="A958" s="1" t="s">
        <v>2107</v>
      </c>
      <c r="B958" s="4">
        <v>25052.9</v>
      </c>
      <c r="C958" s="5">
        <v>30</v>
      </c>
      <c r="D958" s="6">
        <v>1</v>
      </c>
      <c r="E958" s="6" t="s">
        <v>1414</v>
      </c>
    </row>
    <row r="959" spans="1:5" x14ac:dyDescent="0.3">
      <c r="A959" s="1" t="s">
        <v>639</v>
      </c>
      <c r="B959" s="4">
        <v>40536.019999999997</v>
      </c>
      <c r="C959" s="5">
        <v>17</v>
      </c>
      <c r="D959" s="6">
        <v>1</v>
      </c>
      <c r="E959" s="6">
        <v>1</v>
      </c>
    </row>
    <row r="960" spans="1:5" x14ac:dyDescent="0.3">
      <c r="A960" s="1" t="s">
        <v>48</v>
      </c>
      <c r="B960" s="4">
        <v>145753.19</v>
      </c>
      <c r="C960" s="5">
        <v>21</v>
      </c>
      <c r="D960" s="6">
        <v>1</v>
      </c>
      <c r="E960" s="6">
        <v>1</v>
      </c>
    </row>
    <row r="961" spans="1:5" x14ac:dyDescent="0.3">
      <c r="A961" s="1" t="s">
        <v>49</v>
      </c>
      <c r="B961" s="4">
        <v>42186.65</v>
      </c>
      <c r="C961" s="5">
        <v>19</v>
      </c>
      <c r="D961" s="6">
        <v>1</v>
      </c>
      <c r="E961" s="6">
        <v>1</v>
      </c>
    </row>
    <row r="962" spans="1:5" x14ac:dyDescent="0.3">
      <c r="A962" s="1" t="s">
        <v>484</v>
      </c>
      <c r="B962" s="4">
        <v>19272.64</v>
      </c>
      <c r="C962" s="5">
        <v>16</v>
      </c>
      <c r="D962" s="6">
        <v>0.98905100000000001</v>
      </c>
      <c r="E962" s="6">
        <v>1</v>
      </c>
    </row>
    <row r="963" spans="1:5" x14ac:dyDescent="0.3">
      <c r="A963" s="1" t="s">
        <v>1748</v>
      </c>
      <c r="B963" s="4">
        <v>116796.52</v>
      </c>
      <c r="C963" s="5">
        <v>12</v>
      </c>
      <c r="D963" s="6">
        <v>1</v>
      </c>
      <c r="E963" s="6" t="s">
        <v>1414</v>
      </c>
    </row>
    <row r="964" spans="1:5" x14ac:dyDescent="0.3">
      <c r="A964" s="1" t="s">
        <v>341</v>
      </c>
      <c r="B964" s="4">
        <v>-43143.93</v>
      </c>
      <c r="C964" s="5">
        <v>10</v>
      </c>
      <c r="D964" s="6">
        <v>1</v>
      </c>
      <c r="E964" s="6">
        <v>0.28936000000000001</v>
      </c>
    </row>
    <row r="965" spans="1:5" x14ac:dyDescent="0.3">
      <c r="A965" s="1" t="s">
        <v>1509</v>
      </c>
      <c r="B965" s="4">
        <v>78887.23</v>
      </c>
      <c r="C965" s="5">
        <v>17</v>
      </c>
      <c r="D965" s="6">
        <v>1</v>
      </c>
      <c r="E965" s="6" t="s">
        <v>1414</v>
      </c>
    </row>
    <row r="966" spans="1:5" x14ac:dyDescent="0.3">
      <c r="A966" s="1" t="s">
        <v>1510</v>
      </c>
      <c r="B966" s="4">
        <v>272632.73</v>
      </c>
      <c r="C966" s="5">
        <v>15</v>
      </c>
      <c r="D966" s="6">
        <v>1</v>
      </c>
      <c r="E966" s="6">
        <v>1</v>
      </c>
    </row>
    <row r="967" spans="1:5" x14ac:dyDescent="0.3">
      <c r="A967" s="1" t="s">
        <v>50</v>
      </c>
      <c r="B967" s="4">
        <v>-4148.54</v>
      </c>
      <c r="C967" s="5">
        <v>24</v>
      </c>
      <c r="D967" s="6">
        <v>0.96689700000000001</v>
      </c>
      <c r="E967" s="6">
        <v>0.56547599999999998</v>
      </c>
    </row>
    <row r="968" spans="1:5" x14ac:dyDescent="0.3">
      <c r="A968" s="1" t="s">
        <v>712</v>
      </c>
      <c r="B968" s="4">
        <v>-9907.4500000000007</v>
      </c>
      <c r="C968" s="5">
        <v>22</v>
      </c>
      <c r="D968" s="6">
        <v>0.98897800000000002</v>
      </c>
      <c r="E968" s="6">
        <v>0.88765099999999997</v>
      </c>
    </row>
    <row r="969" spans="1:5" x14ac:dyDescent="0.3">
      <c r="A969" s="1" t="s">
        <v>1163</v>
      </c>
      <c r="B969" s="4">
        <v>53169.8999999999</v>
      </c>
      <c r="C969" s="5">
        <v>21</v>
      </c>
      <c r="D969" s="6">
        <v>1</v>
      </c>
      <c r="E969" s="6">
        <v>1</v>
      </c>
    </row>
    <row r="970" spans="1:5" x14ac:dyDescent="0.3">
      <c r="A970" s="1" t="s">
        <v>1088</v>
      </c>
      <c r="B970" s="4">
        <v>31653.66</v>
      </c>
      <c r="C970" s="5">
        <v>21</v>
      </c>
      <c r="D970" s="6">
        <v>0.99148599999999998</v>
      </c>
      <c r="E970" s="6">
        <v>0.91217400000000004</v>
      </c>
    </row>
    <row r="971" spans="1:5" x14ac:dyDescent="0.3">
      <c r="A971" s="1" t="s">
        <v>1164</v>
      </c>
      <c r="B971" s="4">
        <v>31049.05</v>
      </c>
      <c r="C971" s="5">
        <v>20</v>
      </c>
      <c r="D971" s="6">
        <v>0.99395800000000001</v>
      </c>
      <c r="E971" s="6">
        <v>0.382108</v>
      </c>
    </row>
    <row r="972" spans="1:5" x14ac:dyDescent="0.3">
      <c r="A972" s="1" t="s">
        <v>1511</v>
      </c>
      <c r="B972" s="4">
        <v>115809.28</v>
      </c>
      <c r="C972" s="5">
        <v>15</v>
      </c>
      <c r="D972" s="6">
        <v>1</v>
      </c>
      <c r="E972" s="6">
        <v>0</v>
      </c>
    </row>
    <row r="973" spans="1:5" x14ac:dyDescent="0.3">
      <c r="A973" s="1" t="s">
        <v>640</v>
      </c>
      <c r="B973" s="4">
        <v>-135818.41</v>
      </c>
      <c r="C973" s="5">
        <v>25</v>
      </c>
      <c r="D973" s="6">
        <v>0.99343300000000001</v>
      </c>
      <c r="E973" s="6">
        <v>1</v>
      </c>
    </row>
    <row r="974" spans="1:5" x14ac:dyDescent="0.3">
      <c r="A974" s="1" t="s">
        <v>1089</v>
      </c>
      <c r="B974" s="4">
        <v>-109703.86</v>
      </c>
      <c r="C974" s="5">
        <v>0</v>
      </c>
      <c r="D974" s="6">
        <v>0.97087100000000004</v>
      </c>
      <c r="E974" s="6">
        <v>1</v>
      </c>
    </row>
    <row r="975" spans="1:5" x14ac:dyDescent="0.3">
      <c r="A975" s="1" t="s">
        <v>1512</v>
      </c>
      <c r="B975" s="4">
        <v>-140825.73000000001</v>
      </c>
      <c r="C975" s="5">
        <v>10</v>
      </c>
      <c r="D975" s="6">
        <v>0.980352</v>
      </c>
      <c r="E975" s="6" t="s">
        <v>1414</v>
      </c>
    </row>
    <row r="976" spans="1:5" x14ac:dyDescent="0.3">
      <c r="A976" s="1" t="s">
        <v>2108</v>
      </c>
      <c r="B976" s="4">
        <v>166785.92000000001</v>
      </c>
      <c r="C976" s="5">
        <v>12</v>
      </c>
      <c r="D976" s="6">
        <v>1</v>
      </c>
      <c r="E976" s="6" t="s">
        <v>1414</v>
      </c>
    </row>
    <row r="977" spans="1:5" x14ac:dyDescent="0.3">
      <c r="A977" s="1" t="s">
        <v>256</v>
      </c>
      <c r="B977" s="4">
        <v>-131603.68</v>
      </c>
      <c r="C977" s="5">
        <v>12</v>
      </c>
      <c r="D977" s="6">
        <v>0.98523799999999995</v>
      </c>
      <c r="E977" s="6">
        <v>0.38761899999999999</v>
      </c>
    </row>
    <row r="978" spans="1:5" x14ac:dyDescent="0.3">
      <c r="A978" s="1" t="s">
        <v>1513</v>
      </c>
      <c r="B978" s="4">
        <v>209745.85</v>
      </c>
      <c r="C978" s="5">
        <v>19</v>
      </c>
      <c r="D978" s="6">
        <v>0.95776300000000003</v>
      </c>
      <c r="E978" s="6">
        <v>0.72925099999999998</v>
      </c>
    </row>
    <row r="979" spans="1:5" x14ac:dyDescent="0.3">
      <c r="A979" s="1" t="s">
        <v>1514</v>
      </c>
      <c r="B979" s="4">
        <v>82249.820000000007</v>
      </c>
      <c r="C979" s="5">
        <v>23</v>
      </c>
      <c r="D979" s="6">
        <v>1</v>
      </c>
      <c r="E979" s="6">
        <v>1</v>
      </c>
    </row>
    <row r="980" spans="1:5" x14ac:dyDescent="0.3">
      <c r="A980" s="1" t="s">
        <v>777</v>
      </c>
      <c r="B980" s="4">
        <v>-90062.91</v>
      </c>
      <c r="C980" s="5">
        <v>0</v>
      </c>
      <c r="D980" s="6">
        <v>0.99672400000000005</v>
      </c>
      <c r="E980" s="6">
        <v>0.292319</v>
      </c>
    </row>
    <row r="981" spans="1:5" x14ac:dyDescent="0.3">
      <c r="A981" s="1" t="s">
        <v>485</v>
      </c>
      <c r="B981" s="4">
        <v>100201.18</v>
      </c>
      <c r="C981" s="5">
        <v>20</v>
      </c>
      <c r="D981" s="6">
        <v>0.99945499999999998</v>
      </c>
      <c r="E981" s="6">
        <v>0.85409900000000005</v>
      </c>
    </row>
    <row r="982" spans="1:5" x14ac:dyDescent="0.3">
      <c r="A982" s="1" t="s">
        <v>1515</v>
      </c>
      <c r="B982" s="4">
        <v>81322.52</v>
      </c>
      <c r="C982" s="5">
        <v>12</v>
      </c>
      <c r="D982" s="6">
        <v>1</v>
      </c>
      <c r="E982" s="6" t="s">
        <v>1414</v>
      </c>
    </row>
    <row r="983" spans="1:5" x14ac:dyDescent="0.3">
      <c r="A983" s="1" t="s">
        <v>2109</v>
      </c>
      <c r="B983" s="4">
        <v>-148452.29999999999</v>
      </c>
      <c r="C983" s="5">
        <v>13</v>
      </c>
      <c r="D983" s="6">
        <v>0.99876900000000002</v>
      </c>
      <c r="E983" s="6">
        <v>0</v>
      </c>
    </row>
    <row r="984" spans="1:5" x14ac:dyDescent="0.3">
      <c r="A984" s="1" t="s">
        <v>713</v>
      </c>
      <c r="B984" s="4">
        <v>163115</v>
      </c>
      <c r="C984" s="5">
        <v>21</v>
      </c>
      <c r="D984" s="6">
        <v>0.99923600000000001</v>
      </c>
      <c r="E984" s="6">
        <v>0.90218799999999999</v>
      </c>
    </row>
    <row r="985" spans="1:5" x14ac:dyDescent="0.3">
      <c r="A985" s="1" t="s">
        <v>342</v>
      </c>
      <c r="B985" s="4">
        <v>-52271.14</v>
      </c>
      <c r="C985" s="5">
        <v>64</v>
      </c>
      <c r="D985" s="6">
        <v>0.90780300000000003</v>
      </c>
      <c r="E985" s="6">
        <v>0.35858400000000001</v>
      </c>
    </row>
    <row r="986" spans="1:5" x14ac:dyDescent="0.3">
      <c r="A986" s="1" t="s">
        <v>2110</v>
      </c>
      <c r="B986" s="4">
        <v>27859.01</v>
      </c>
      <c r="C986" s="5">
        <v>12</v>
      </c>
      <c r="D986" s="6">
        <v>1</v>
      </c>
      <c r="E986" s="6" t="s">
        <v>1414</v>
      </c>
    </row>
    <row r="987" spans="1:5" x14ac:dyDescent="0.3">
      <c r="A987" s="1" t="s">
        <v>1516</v>
      </c>
      <c r="B987" s="4">
        <v>-14067.5</v>
      </c>
      <c r="C987" s="5">
        <v>20</v>
      </c>
      <c r="D987" s="6">
        <v>0.97885</v>
      </c>
      <c r="E987" s="6">
        <v>0.90498999999999996</v>
      </c>
    </row>
    <row r="988" spans="1:5" x14ac:dyDescent="0.3">
      <c r="A988" s="1" t="s">
        <v>190</v>
      </c>
      <c r="B988" s="4">
        <v>302001.32</v>
      </c>
      <c r="C988" s="5">
        <v>23</v>
      </c>
      <c r="D988" s="6">
        <v>0.99198699999999995</v>
      </c>
      <c r="E988" s="6">
        <v>0.98206199999999999</v>
      </c>
    </row>
    <row r="989" spans="1:5" x14ac:dyDescent="0.3">
      <c r="A989" s="1" t="s">
        <v>1011</v>
      </c>
      <c r="B989" s="4">
        <v>24470.6</v>
      </c>
      <c r="C989" s="5">
        <v>10</v>
      </c>
      <c r="D989" s="6">
        <v>0.92462999999999995</v>
      </c>
      <c r="E989" s="6" t="s">
        <v>1414</v>
      </c>
    </row>
    <row r="990" spans="1:5" x14ac:dyDescent="0.3">
      <c r="A990" s="1" t="s">
        <v>1749</v>
      </c>
      <c r="B990" s="4">
        <v>-38581.839999999997</v>
      </c>
      <c r="C990" s="5">
        <v>14</v>
      </c>
      <c r="D990" s="6">
        <v>0.98195100000000002</v>
      </c>
      <c r="E990" s="6">
        <v>0.65995499999999996</v>
      </c>
    </row>
    <row r="991" spans="1:5" x14ac:dyDescent="0.3">
      <c r="A991" s="1" t="s">
        <v>114</v>
      </c>
      <c r="B991" s="4">
        <v>-7289.21</v>
      </c>
      <c r="C991" s="5">
        <v>16</v>
      </c>
      <c r="D991" s="6">
        <v>0.96485299999999996</v>
      </c>
      <c r="E991" s="6">
        <v>0.22431599999999999</v>
      </c>
    </row>
    <row r="992" spans="1:5" x14ac:dyDescent="0.3">
      <c r="A992" s="1" t="s">
        <v>1090</v>
      </c>
      <c r="B992" s="4">
        <v>102207.41</v>
      </c>
      <c r="C992" s="5">
        <v>27</v>
      </c>
      <c r="D992" s="6">
        <v>0.98944799999999999</v>
      </c>
      <c r="E992" s="6">
        <v>1</v>
      </c>
    </row>
    <row r="993" spans="1:5" x14ac:dyDescent="0.3">
      <c r="A993" s="1" t="s">
        <v>257</v>
      </c>
      <c r="B993" s="4">
        <v>21711.93</v>
      </c>
      <c r="C993" s="5">
        <v>26</v>
      </c>
      <c r="D993" s="6">
        <v>0.99082199999999998</v>
      </c>
      <c r="E993" s="6">
        <v>1</v>
      </c>
    </row>
    <row r="994" spans="1:5" x14ac:dyDescent="0.3">
      <c r="A994" s="1" t="s">
        <v>1517</v>
      </c>
      <c r="B994" s="4">
        <v>-98455.97</v>
      </c>
      <c r="C994" s="5">
        <v>7</v>
      </c>
      <c r="D994" s="6">
        <v>0.98993500000000001</v>
      </c>
      <c r="E994" s="6">
        <v>0.84738000000000002</v>
      </c>
    </row>
    <row r="995" spans="1:5" x14ac:dyDescent="0.3">
      <c r="A995" s="1" t="s">
        <v>1750</v>
      </c>
      <c r="B995" s="4">
        <v>19211.28</v>
      </c>
      <c r="C995" s="5">
        <v>46</v>
      </c>
      <c r="D995" s="6">
        <v>0.99668999999999996</v>
      </c>
      <c r="E995" s="6" t="s">
        <v>1414</v>
      </c>
    </row>
    <row r="996" spans="1:5" x14ac:dyDescent="0.3">
      <c r="A996" s="1" t="s">
        <v>641</v>
      </c>
      <c r="B996" s="4">
        <v>69062.94</v>
      </c>
      <c r="C996" s="5">
        <v>21</v>
      </c>
      <c r="D996" s="6">
        <v>1</v>
      </c>
      <c r="E996" s="6">
        <v>0.84182699999999999</v>
      </c>
    </row>
    <row r="997" spans="1:5" x14ac:dyDescent="0.3">
      <c r="A997" s="1" t="s">
        <v>1518</v>
      </c>
      <c r="B997" s="4">
        <v>-107894</v>
      </c>
      <c r="C997" s="5">
        <v>22</v>
      </c>
      <c r="D997" s="6">
        <v>0.97748400000000002</v>
      </c>
      <c r="E997" s="6">
        <v>0.99778500000000003</v>
      </c>
    </row>
    <row r="998" spans="1:5" x14ac:dyDescent="0.3">
      <c r="A998" s="1" t="s">
        <v>1751</v>
      </c>
      <c r="B998" s="4">
        <v>-249371.54</v>
      </c>
      <c r="C998" s="5">
        <v>19</v>
      </c>
      <c r="D998" s="6">
        <v>0.99977000000000005</v>
      </c>
      <c r="E998" s="6">
        <v>0</v>
      </c>
    </row>
    <row r="999" spans="1:5" x14ac:dyDescent="0.3">
      <c r="A999" s="1" t="s">
        <v>420</v>
      </c>
      <c r="B999" s="4">
        <v>129930.23</v>
      </c>
      <c r="C999" s="5">
        <v>19</v>
      </c>
      <c r="D999" s="6">
        <v>0.99967499999999998</v>
      </c>
      <c r="E999" s="6">
        <v>0.99143700000000001</v>
      </c>
    </row>
    <row r="1000" spans="1:5" x14ac:dyDescent="0.3">
      <c r="A1000" s="1" t="s">
        <v>1012</v>
      </c>
      <c r="B1000" s="4">
        <v>62483.08</v>
      </c>
      <c r="C1000" s="5">
        <v>26</v>
      </c>
      <c r="D1000" s="6">
        <v>0.99229400000000001</v>
      </c>
      <c r="E1000" s="6">
        <v>0.88211700000000004</v>
      </c>
    </row>
    <row r="1001" spans="1:5" x14ac:dyDescent="0.3">
      <c r="A1001" s="1" t="s">
        <v>1519</v>
      </c>
      <c r="B1001" s="4">
        <v>82728.38</v>
      </c>
      <c r="C1001" s="5">
        <v>18</v>
      </c>
      <c r="D1001" s="6">
        <v>1</v>
      </c>
      <c r="E1001" s="6" t="s">
        <v>1414</v>
      </c>
    </row>
    <row r="1002" spans="1:5" x14ac:dyDescent="0.3">
      <c r="A1002" s="1" t="s">
        <v>486</v>
      </c>
      <c r="B1002" s="4">
        <v>20289.39</v>
      </c>
      <c r="C1002" s="5">
        <v>11</v>
      </c>
      <c r="D1002" s="6">
        <v>0.99805699999999997</v>
      </c>
      <c r="E1002" s="6">
        <v>0.92626699999999995</v>
      </c>
    </row>
    <row r="1003" spans="1:5" x14ac:dyDescent="0.3">
      <c r="A1003" s="1" t="s">
        <v>1958</v>
      </c>
      <c r="B1003" s="4">
        <v>41655.49</v>
      </c>
      <c r="C1003" s="5">
        <v>12</v>
      </c>
      <c r="D1003" s="6">
        <v>1</v>
      </c>
      <c r="E1003" s="6" t="s">
        <v>1414</v>
      </c>
    </row>
    <row r="1004" spans="1:5" x14ac:dyDescent="0.3">
      <c r="A1004" s="1" t="s">
        <v>642</v>
      </c>
      <c r="B1004" s="4">
        <v>-11076.37</v>
      </c>
      <c r="C1004" s="5">
        <v>18</v>
      </c>
      <c r="D1004" s="6">
        <v>0.97441599999999995</v>
      </c>
      <c r="E1004" s="6">
        <v>0</v>
      </c>
    </row>
    <row r="1005" spans="1:5" x14ac:dyDescent="0.3">
      <c r="A1005" s="1" t="s">
        <v>1520</v>
      </c>
      <c r="B1005" s="4">
        <v>-49366.28</v>
      </c>
      <c r="C1005" s="5">
        <v>22</v>
      </c>
      <c r="D1005" s="6">
        <v>0.965615</v>
      </c>
      <c r="E1005" s="6">
        <v>0.81828999999999996</v>
      </c>
    </row>
    <row r="1006" spans="1:5" x14ac:dyDescent="0.3">
      <c r="A1006" s="1" t="s">
        <v>1752</v>
      </c>
      <c r="B1006" s="4">
        <v>187061.35</v>
      </c>
      <c r="C1006" s="5">
        <v>12</v>
      </c>
      <c r="D1006" s="6">
        <v>1</v>
      </c>
      <c r="E1006" s="6" t="s">
        <v>1414</v>
      </c>
    </row>
    <row r="1007" spans="1:5" x14ac:dyDescent="0.3">
      <c r="A1007" s="1" t="s">
        <v>1959</v>
      </c>
      <c r="B1007" s="4">
        <v>124133.08</v>
      </c>
      <c r="C1007" s="5">
        <v>87</v>
      </c>
      <c r="D1007" s="6">
        <v>0.96082199999999995</v>
      </c>
      <c r="E1007" s="6">
        <v>1</v>
      </c>
    </row>
    <row r="1008" spans="1:5" x14ac:dyDescent="0.3">
      <c r="A1008" s="1" t="s">
        <v>643</v>
      </c>
      <c r="B1008" s="4">
        <v>-143025.25</v>
      </c>
      <c r="C1008" s="5">
        <v>0</v>
      </c>
      <c r="D1008" s="6">
        <v>0.972777</v>
      </c>
      <c r="E1008" s="6" t="s">
        <v>1414</v>
      </c>
    </row>
    <row r="1009" spans="1:5" x14ac:dyDescent="0.3">
      <c r="A1009" s="1" t="s">
        <v>1753</v>
      </c>
      <c r="B1009" s="4">
        <v>7125.63</v>
      </c>
      <c r="C1009" s="5">
        <v>50</v>
      </c>
      <c r="D1009" s="6">
        <v>1</v>
      </c>
      <c r="E1009" s="6">
        <v>1</v>
      </c>
    </row>
    <row r="1010" spans="1:5" x14ac:dyDescent="0.3">
      <c r="A1010" s="1" t="s">
        <v>487</v>
      </c>
      <c r="B1010" s="4">
        <v>31270.95</v>
      </c>
      <c r="C1010" s="5">
        <v>18</v>
      </c>
      <c r="D1010" s="6">
        <v>0.99748599999999998</v>
      </c>
      <c r="E1010" s="6">
        <v>0.88361599999999996</v>
      </c>
    </row>
    <row r="1011" spans="1:5" x14ac:dyDescent="0.3">
      <c r="A1011" s="1" t="s">
        <v>115</v>
      </c>
      <c r="B1011" s="4">
        <v>-401766.29</v>
      </c>
      <c r="C1011" s="5">
        <v>0</v>
      </c>
      <c r="D1011" s="6">
        <v>0.99512599999999996</v>
      </c>
      <c r="E1011" s="6">
        <v>0.43885400000000002</v>
      </c>
    </row>
    <row r="1012" spans="1:5" x14ac:dyDescent="0.3">
      <c r="A1012" s="1" t="s">
        <v>644</v>
      </c>
      <c r="B1012" s="4">
        <v>103674.23</v>
      </c>
      <c r="C1012" s="5">
        <v>19</v>
      </c>
      <c r="D1012" s="6">
        <v>1</v>
      </c>
      <c r="E1012" s="6">
        <v>1</v>
      </c>
    </row>
    <row r="1013" spans="1:5" x14ac:dyDescent="0.3">
      <c r="A1013" s="1" t="s">
        <v>1521</v>
      </c>
      <c r="B1013" s="4">
        <v>66450.480000000098</v>
      </c>
      <c r="C1013" s="5">
        <v>14</v>
      </c>
      <c r="D1013" s="6">
        <v>0.96790100000000001</v>
      </c>
      <c r="E1013" s="6">
        <v>0.97475199999999995</v>
      </c>
    </row>
    <row r="1014" spans="1:5" x14ac:dyDescent="0.3">
      <c r="A1014" s="1" t="s">
        <v>857</v>
      </c>
      <c r="B1014" s="4">
        <v>-62583.88</v>
      </c>
      <c r="C1014" s="5">
        <v>17</v>
      </c>
      <c r="D1014" s="6">
        <v>0.99641599999999997</v>
      </c>
      <c r="E1014" s="6">
        <v>1</v>
      </c>
    </row>
    <row r="1015" spans="1:5" x14ac:dyDescent="0.3">
      <c r="A1015" s="1" t="s">
        <v>421</v>
      </c>
      <c r="B1015" s="4">
        <v>35456.33</v>
      </c>
      <c r="C1015" s="5">
        <v>25</v>
      </c>
      <c r="D1015" s="6">
        <v>0.99735600000000002</v>
      </c>
      <c r="E1015" s="6">
        <v>1</v>
      </c>
    </row>
    <row r="1016" spans="1:5" x14ac:dyDescent="0.3">
      <c r="A1016" s="1" t="s">
        <v>191</v>
      </c>
      <c r="B1016" s="4">
        <v>24047.01</v>
      </c>
      <c r="C1016" s="5">
        <v>29</v>
      </c>
      <c r="D1016" s="6">
        <v>0.99883699999999997</v>
      </c>
      <c r="E1016" s="6">
        <v>1</v>
      </c>
    </row>
    <row r="1017" spans="1:5" x14ac:dyDescent="0.3">
      <c r="A1017" s="1" t="s">
        <v>1960</v>
      </c>
      <c r="B1017" s="4">
        <v>13425.51</v>
      </c>
      <c r="C1017" s="5">
        <v>19</v>
      </c>
      <c r="D1017" s="6">
        <v>1</v>
      </c>
      <c r="E1017" s="6" t="s">
        <v>1414</v>
      </c>
    </row>
    <row r="1018" spans="1:5" x14ac:dyDescent="0.3">
      <c r="A1018" s="1" t="s">
        <v>1754</v>
      </c>
      <c r="B1018" s="4">
        <v>5048.42</v>
      </c>
      <c r="C1018" s="5">
        <v>40</v>
      </c>
      <c r="D1018" s="6">
        <v>1</v>
      </c>
      <c r="E1018" s="6" t="s">
        <v>1414</v>
      </c>
    </row>
    <row r="1019" spans="1:5" x14ac:dyDescent="0.3">
      <c r="A1019" s="1" t="s">
        <v>1165</v>
      </c>
      <c r="B1019" s="4">
        <v>-185.14</v>
      </c>
      <c r="C1019" s="5">
        <v>0</v>
      </c>
      <c r="D1019" s="6" t="s">
        <v>1414</v>
      </c>
      <c r="E1019" s="6">
        <v>1</v>
      </c>
    </row>
    <row r="1020" spans="1:5" x14ac:dyDescent="0.3">
      <c r="A1020" s="1" t="s">
        <v>645</v>
      </c>
      <c r="B1020" s="4">
        <v>-12327.12</v>
      </c>
      <c r="C1020" s="5">
        <v>15</v>
      </c>
      <c r="D1020" s="6">
        <v>0.98776600000000003</v>
      </c>
      <c r="E1020" s="6">
        <v>0.96150100000000005</v>
      </c>
    </row>
    <row r="1021" spans="1:5" x14ac:dyDescent="0.3">
      <c r="A1021" s="1" t="s">
        <v>1522</v>
      </c>
      <c r="B1021" s="4">
        <v>-468588.01</v>
      </c>
      <c r="C1021" s="5">
        <v>0</v>
      </c>
      <c r="D1021" s="6">
        <v>0.81575900000000001</v>
      </c>
      <c r="E1021" s="6">
        <v>0.113402</v>
      </c>
    </row>
    <row r="1022" spans="1:5" x14ac:dyDescent="0.3">
      <c r="A1022" s="1" t="s">
        <v>192</v>
      </c>
      <c r="B1022" s="4">
        <v>60115.63</v>
      </c>
      <c r="C1022" s="5">
        <v>27</v>
      </c>
      <c r="D1022" s="6">
        <v>0.98753500000000005</v>
      </c>
      <c r="E1022" s="6">
        <v>0.81529300000000005</v>
      </c>
    </row>
    <row r="1023" spans="1:5" x14ac:dyDescent="0.3">
      <c r="A1023" s="1" t="s">
        <v>1523</v>
      </c>
      <c r="B1023" s="4">
        <v>-3708.69</v>
      </c>
      <c r="C1023" s="5">
        <v>1</v>
      </c>
      <c r="D1023" s="6">
        <v>1</v>
      </c>
      <c r="E1023" s="6" t="s">
        <v>1414</v>
      </c>
    </row>
    <row r="1024" spans="1:5" x14ac:dyDescent="0.3">
      <c r="A1024" s="1" t="s">
        <v>258</v>
      </c>
      <c r="B1024" s="4">
        <v>6592.18</v>
      </c>
      <c r="C1024" s="5">
        <v>16</v>
      </c>
      <c r="D1024" s="6">
        <v>1</v>
      </c>
      <c r="E1024" s="6">
        <v>0.62903900000000001</v>
      </c>
    </row>
    <row r="1025" spans="1:5" x14ac:dyDescent="0.3">
      <c r="A1025" s="1" t="s">
        <v>1013</v>
      </c>
      <c r="B1025" s="4">
        <v>101984.75</v>
      </c>
      <c r="C1025" s="5">
        <v>16</v>
      </c>
      <c r="D1025" s="6">
        <v>0.86856500000000003</v>
      </c>
      <c r="E1025" s="6">
        <v>1</v>
      </c>
    </row>
    <row r="1026" spans="1:5" x14ac:dyDescent="0.3">
      <c r="A1026" s="1" t="s">
        <v>858</v>
      </c>
      <c r="B1026" s="4">
        <v>26803.39</v>
      </c>
      <c r="C1026" s="5">
        <v>22</v>
      </c>
      <c r="D1026" s="6">
        <v>1</v>
      </c>
      <c r="E1026" s="6">
        <v>1</v>
      </c>
    </row>
    <row r="1027" spans="1:5" x14ac:dyDescent="0.3">
      <c r="A1027" s="1" t="s">
        <v>859</v>
      </c>
      <c r="B1027" s="4">
        <v>272000</v>
      </c>
      <c r="C1027" s="5">
        <v>13</v>
      </c>
      <c r="D1027" s="6" t="s">
        <v>1414</v>
      </c>
      <c r="E1027" s="6" t="s">
        <v>1414</v>
      </c>
    </row>
    <row r="1028" spans="1:5" x14ac:dyDescent="0.3">
      <c r="A1028" s="1" t="s">
        <v>259</v>
      </c>
      <c r="B1028" s="4">
        <v>162093.76000000001</v>
      </c>
      <c r="C1028" s="5">
        <v>22</v>
      </c>
      <c r="D1028" s="6">
        <v>0.94671799999999995</v>
      </c>
      <c r="E1028" s="6">
        <v>1</v>
      </c>
    </row>
    <row r="1029" spans="1:5" x14ac:dyDescent="0.3">
      <c r="A1029" s="1" t="s">
        <v>343</v>
      </c>
      <c r="B1029" s="4">
        <v>-37502.11</v>
      </c>
      <c r="C1029" s="5">
        <v>15</v>
      </c>
      <c r="D1029" s="6">
        <v>0.986286</v>
      </c>
      <c r="E1029" s="6">
        <v>0</v>
      </c>
    </row>
    <row r="1030" spans="1:5" x14ac:dyDescent="0.3">
      <c r="A1030" s="1" t="s">
        <v>1755</v>
      </c>
      <c r="B1030" s="4">
        <v>-122720.26</v>
      </c>
      <c r="C1030" s="5">
        <v>0</v>
      </c>
      <c r="D1030" s="6">
        <v>0.99593399999999999</v>
      </c>
      <c r="E1030" s="6">
        <v>1</v>
      </c>
    </row>
    <row r="1031" spans="1:5" x14ac:dyDescent="0.3">
      <c r="A1031" s="1" t="s">
        <v>2111</v>
      </c>
      <c r="B1031" s="4">
        <v>73826</v>
      </c>
      <c r="C1031" s="5">
        <v>17</v>
      </c>
      <c r="D1031" s="6" t="s">
        <v>1414</v>
      </c>
      <c r="E1031" s="6" t="s">
        <v>1414</v>
      </c>
    </row>
    <row r="1032" spans="1:5" x14ac:dyDescent="0.3">
      <c r="A1032" s="1" t="s">
        <v>1756</v>
      </c>
      <c r="B1032" s="4">
        <v>-10987.58</v>
      </c>
      <c r="C1032" s="5">
        <v>20</v>
      </c>
      <c r="D1032" s="6">
        <v>1</v>
      </c>
      <c r="E1032" s="6" t="s">
        <v>1414</v>
      </c>
    </row>
    <row r="1033" spans="1:5" x14ac:dyDescent="0.3">
      <c r="A1033" s="1" t="s">
        <v>1524</v>
      </c>
      <c r="B1033" s="4">
        <v>-54430.44</v>
      </c>
      <c r="C1033" s="5">
        <v>11</v>
      </c>
      <c r="D1033" s="6">
        <v>0.98458800000000002</v>
      </c>
      <c r="E1033" s="6">
        <v>0.53383899999999995</v>
      </c>
    </row>
    <row r="1034" spans="1:5" x14ac:dyDescent="0.3">
      <c r="A1034" s="1" t="s">
        <v>344</v>
      </c>
      <c r="B1034" s="4">
        <v>41670.9</v>
      </c>
      <c r="C1034" s="5">
        <v>20</v>
      </c>
      <c r="D1034" s="6">
        <v>0.99615200000000004</v>
      </c>
      <c r="E1034" s="6">
        <v>0.92764199999999997</v>
      </c>
    </row>
    <row r="1035" spans="1:5" x14ac:dyDescent="0.3">
      <c r="A1035" s="1" t="s">
        <v>1757</v>
      </c>
      <c r="B1035" s="4">
        <v>-29859.599999999999</v>
      </c>
      <c r="C1035" s="5">
        <v>0</v>
      </c>
      <c r="D1035" s="6">
        <v>1</v>
      </c>
      <c r="E1035" s="6" t="s">
        <v>1414</v>
      </c>
    </row>
    <row r="1036" spans="1:5" x14ac:dyDescent="0.3">
      <c r="A1036" s="1" t="s">
        <v>2112</v>
      </c>
      <c r="B1036" s="4">
        <v>71353</v>
      </c>
      <c r="C1036" s="5">
        <v>7</v>
      </c>
      <c r="D1036" s="6" t="s">
        <v>1414</v>
      </c>
      <c r="E1036" s="6" t="s">
        <v>1414</v>
      </c>
    </row>
    <row r="1037" spans="1:5" x14ac:dyDescent="0.3">
      <c r="A1037" s="1" t="s">
        <v>345</v>
      </c>
      <c r="B1037" s="4">
        <v>-39904.379999999997</v>
      </c>
      <c r="C1037" s="5">
        <v>4</v>
      </c>
      <c r="D1037" s="6">
        <v>1</v>
      </c>
      <c r="E1037" s="6" t="s">
        <v>1414</v>
      </c>
    </row>
    <row r="1038" spans="1:5" x14ac:dyDescent="0.3">
      <c r="A1038" s="1" t="s">
        <v>714</v>
      </c>
      <c r="B1038" s="4">
        <v>105921.64</v>
      </c>
      <c r="C1038" s="5">
        <v>23</v>
      </c>
      <c r="D1038" s="6">
        <v>0.993259</v>
      </c>
      <c r="E1038" s="6">
        <v>0.59556100000000001</v>
      </c>
    </row>
    <row r="1039" spans="1:5" x14ac:dyDescent="0.3">
      <c r="A1039" s="1" t="s">
        <v>860</v>
      </c>
      <c r="B1039" s="4">
        <v>28806.84</v>
      </c>
      <c r="C1039" s="5">
        <v>18</v>
      </c>
      <c r="D1039" s="6">
        <v>1</v>
      </c>
      <c r="E1039" s="6">
        <v>1</v>
      </c>
    </row>
    <row r="1040" spans="1:5" x14ac:dyDescent="0.3">
      <c r="A1040" s="1" t="s">
        <v>646</v>
      </c>
      <c r="B1040" s="4">
        <v>44901.77</v>
      </c>
      <c r="C1040" s="5">
        <v>19</v>
      </c>
      <c r="D1040" s="6">
        <v>1</v>
      </c>
      <c r="E1040" s="6">
        <v>0.93463300000000005</v>
      </c>
    </row>
    <row r="1041" spans="1:5" x14ac:dyDescent="0.3">
      <c r="A1041" s="1" t="s">
        <v>1525</v>
      </c>
      <c r="B1041" s="4">
        <v>96931.48</v>
      </c>
      <c r="C1041" s="5">
        <v>16</v>
      </c>
      <c r="D1041" s="6">
        <v>0.99351500000000004</v>
      </c>
      <c r="E1041" s="6">
        <v>1</v>
      </c>
    </row>
    <row r="1042" spans="1:5" x14ac:dyDescent="0.3">
      <c r="A1042" s="1" t="s">
        <v>116</v>
      </c>
      <c r="B1042" s="4">
        <v>80004.600000000006</v>
      </c>
      <c r="C1042" s="5">
        <v>20</v>
      </c>
      <c r="D1042" s="6">
        <v>0.99198399999999998</v>
      </c>
      <c r="E1042" s="6">
        <v>1</v>
      </c>
    </row>
    <row r="1043" spans="1:5" x14ac:dyDescent="0.3">
      <c r="A1043" s="1" t="s">
        <v>647</v>
      </c>
      <c r="B1043" s="4">
        <v>-22712.52</v>
      </c>
      <c r="C1043" s="5">
        <v>5</v>
      </c>
      <c r="D1043" s="6">
        <v>1</v>
      </c>
      <c r="E1043" s="6">
        <v>1</v>
      </c>
    </row>
    <row r="1044" spans="1:5" x14ac:dyDescent="0.3">
      <c r="A1044" s="1" t="s">
        <v>575</v>
      </c>
      <c r="B1044" s="4">
        <v>-18348.150000000001</v>
      </c>
      <c r="C1044" s="5">
        <v>84</v>
      </c>
      <c r="D1044" s="6">
        <v>0.93667400000000001</v>
      </c>
      <c r="E1044" s="6">
        <v>0.18312500000000001</v>
      </c>
    </row>
    <row r="1045" spans="1:5" x14ac:dyDescent="0.3">
      <c r="A1045" s="1" t="s">
        <v>861</v>
      </c>
      <c r="B1045" s="4">
        <v>43334.42</v>
      </c>
      <c r="C1045" s="5">
        <v>20</v>
      </c>
      <c r="D1045" s="6">
        <v>0.999274</v>
      </c>
      <c r="E1045" s="6">
        <v>1</v>
      </c>
    </row>
    <row r="1046" spans="1:5" x14ac:dyDescent="0.3">
      <c r="A1046" s="1" t="s">
        <v>193</v>
      </c>
      <c r="B1046" s="4">
        <v>15911.17</v>
      </c>
      <c r="C1046" s="5">
        <v>46</v>
      </c>
      <c r="D1046" s="6">
        <v>0.89380400000000004</v>
      </c>
      <c r="E1046" s="6">
        <v>0.68719600000000003</v>
      </c>
    </row>
    <row r="1047" spans="1:5" x14ac:dyDescent="0.3">
      <c r="A1047" s="1" t="s">
        <v>260</v>
      </c>
      <c r="B1047" s="4">
        <v>-29053.51</v>
      </c>
      <c r="C1047" s="5">
        <v>20</v>
      </c>
      <c r="D1047" s="6">
        <v>0.96990500000000002</v>
      </c>
      <c r="E1047" s="6">
        <v>0.43687100000000001</v>
      </c>
    </row>
    <row r="1048" spans="1:5" x14ac:dyDescent="0.3">
      <c r="A1048" s="1" t="s">
        <v>576</v>
      </c>
      <c r="B1048" s="4">
        <v>-6800.17</v>
      </c>
      <c r="C1048" s="5">
        <v>10</v>
      </c>
      <c r="D1048" s="6">
        <v>1</v>
      </c>
      <c r="E1048" s="6">
        <v>0</v>
      </c>
    </row>
    <row r="1049" spans="1:5" x14ac:dyDescent="0.3">
      <c r="A1049" s="1" t="s">
        <v>944</v>
      </c>
      <c r="B1049" s="4">
        <v>-18932.330000000002</v>
      </c>
      <c r="C1049" s="5">
        <v>15</v>
      </c>
      <c r="D1049" s="6">
        <v>1</v>
      </c>
      <c r="E1049" s="6">
        <v>0.53959599999999996</v>
      </c>
    </row>
    <row r="1050" spans="1:5" x14ac:dyDescent="0.3">
      <c r="A1050" s="1" t="s">
        <v>778</v>
      </c>
      <c r="B1050" s="4">
        <v>-122961.82</v>
      </c>
      <c r="C1050" s="5">
        <v>19</v>
      </c>
      <c r="D1050" s="6">
        <v>1</v>
      </c>
      <c r="E1050" s="6">
        <v>0.419346</v>
      </c>
    </row>
    <row r="1051" spans="1:5" x14ac:dyDescent="0.3">
      <c r="A1051" s="1" t="s">
        <v>2113</v>
      </c>
      <c r="B1051" s="4">
        <v>32793.570000000102</v>
      </c>
      <c r="C1051" s="5">
        <v>6</v>
      </c>
      <c r="D1051" s="6">
        <v>0.88321700000000003</v>
      </c>
      <c r="E1051" s="6">
        <v>0.50802099999999994</v>
      </c>
    </row>
    <row r="1052" spans="1:5" x14ac:dyDescent="0.3">
      <c r="A1052" s="1" t="s">
        <v>1961</v>
      </c>
      <c r="B1052" s="4">
        <v>-75808.17</v>
      </c>
      <c r="C1052" s="5">
        <v>0</v>
      </c>
      <c r="D1052" s="6">
        <v>0.96768100000000001</v>
      </c>
      <c r="E1052" s="6">
        <v>0.60057300000000002</v>
      </c>
    </row>
    <row r="1053" spans="1:5" x14ac:dyDescent="0.3">
      <c r="A1053" s="1" t="s">
        <v>2114</v>
      </c>
      <c r="B1053" s="4">
        <v>32429.18</v>
      </c>
      <c r="C1053" s="5">
        <v>5</v>
      </c>
      <c r="D1053" s="6">
        <v>1</v>
      </c>
      <c r="E1053" s="6" t="s">
        <v>1414</v>
      </c>
    </row>
    <row r="1054" spans="1:5" x14ac:dyDescent="0.3">
      <c r="A1054" s="1" t="s">
        <v>2115</v>
      </c>
      <c r="B1054" s="4">
        <v>-33350.870000000003</v>
      </c>
      <c r="C1054" s="5">
        <v>14</v>
      </c>
      <c r="D1054" s="6">
        <v>0.98956599999999995</v>
      </c>
      <c r="E1054" s="6">
        <v>0.98067599999999999</v>
      </c>
    </row>
    <row r="1055" spans="1:5" x14ac:dyDescent="0.3">
      <c r="A1055" s="1" t="s">
        <v>2116</v>
      </c>
      <c r="B1055" s="4">
        <v>179724</v>
      </c>
      <c r="C1055" s="5">
        <v>14</v>
      </c>
      <c r="D1055" s="6" t="s">
        <v>1414</v>
      </c>
      <c r="E1055" s="6" t="s">
        <v>1414</v>
      </c>
    </row>
    <row r="1056" spans="1:5" x14ac:dyDescent="0.3">
      <c r="A1056" s="1" t="s">
        <v>779</v>
      </c>
      <c r="B1056" s="4">
        <v>80597.399999999994</v>
      </c>
      <c r="C1056" s="5">
        <v>18</v>
      </c>
      <c r="D1056" s="6">
        <v>0.98714500000000005</v>
      </c>
      <c r="E1056" s="6">
        <v>1</v>
      </c>
    </row>
    <row r="1057" spans="1:5" x14ac:dyDescent="0.3">
      <c r="A1057" s="1" t="s">
        <v>1962</v>
      </c>
      <c r="B1057" s="4">
        <v>-50148.79</v>
      </c>
      <c r="C1057" s="5">
        <v>7</v>
      </c>
      <c r="D1057" s="6">
        <v>0.91353600000000001</v>
      </c>
      <c r="E1057" s="6">
        <v>1</v>
      </c>
    </row>
    <row r="1058" spans="1:5" x14ac:dyDescent="0.3">
      <c r="A1058" s="1" t="s">
        <v>51</v>
      </c>
      <c r="B1058" s="4">
        <v>100986.9</v>
      </c>
      <c r="C1058" s="5">
        <v>21</v>
      </c>
      <c r="D1058" s="6">
        <v>0.986738</v>
      </c>
      <c r="E1058" s="6">
        <v>0.89445600000000003</v>
      </c>
    </row>
    <row r="1059" spans="1:5" x14ac:dyDescent="0.3">
      <c r="A1059" s="1" t="s">
        <v>715</v>
      </c>
      <c r="B1059" s="4">
        <v>-32767.82</v>
      </c>
      <c r="C1059" s="5">
        <v>15</v>
      </c>
      <c r="D1059" s="6">
        <v>0.97513899999999998</v>
      </c>
      <c r="E1059" s="6">
        <v>0.957839</v>
      </c>
    </row>
    <row r="1060" spans="1:5" x14ac:dyDescent="0.3">
      <c r="A1060" s="1" t="s">
        <v>1526</v>
      </c>
      <c r="B1060" s="4">
        <v>-49359.95</v>
      </c>
      <c r="C1060" s="5">
        <v>21</v>
      </c>
      <c r="D1060" s="6">
        <v>0.99227399999999999</v>
      </c>
      <c r="E1060" s="6">
        <v>0</v>
      </c>
    </row>
    <row r="1061" spans="1:5" x14ac:dyDescent="0.3">
      <c r="A1061" s="1" t="s">
        <v>577</v>
      </c>
      <c r="B1061" s="4">
        <v>-12889.81</v>
      </c>
      <c r="C1061" s="5">
        <v>20</v>
      </c>
      <c r="D1061" s="6">
        <v>0.98993100000000001</v>
      </c>
      <c r="E1061" s="6">
        <v>1</v>
      </c>
    </row>
    <row r="1062" spans="1:5" x14ac:dyDescent="0.3">
      <c r="A1062" s="1" t="s">
        <v>1527</v>
      </c>
      <c r="B1062" s="4">
        <v>71719.98</v>
      </c>
      <c r="C1062" s="5">
        <v>13</v>
      </c>
      <c r="D1062" s="6">
        <v>1</v>
      </c>
      <c r="E1062" s="6" t="s">
        <v>1414</v>
      </c>
    </row>
    <row r="1063" spans="1:5" x14ac:dyDescent="0.3">
      <c r="A1063" s="1" t="s">
        <v>1758</v>
      </c>
      <c r="B1063" s="4">
        <v>-37331.980000000003</v>
      </c>
      <c r="C1063" s="5">
        <v>8</v>
      </c>
      <c r="D1063" s="6">
        <v>0.95711500000000005</v>
      </c>
      <c r="E1063" s="6">
        <v>0.491203</v>
      </c>
    </row>
    <row r="1064" spans="1:5" x14ac:dyDescent="0.3">
      <c r="A1064" s="1" t="s">
        <v>2117</v>
      </c>
      <c r="B1064" s="4">
        <v>230400.25</v>
      </c>
      <c r="C1064" s="5">
        <v>29</v>
      </c>
      <c r="D1064" s="6">
        <v>1</v>
      </c>
      <c r="E1064" s="6" t="s">
        <v>1414</v>
      </c>
    </row>
    <row r="1065" spans="1:5" x14ac:dyDescent="0.3">
      <c r="A1065" s="1" t="s">
        <v>2118</v>
      </c>
      <c r="B1065" s="4">
        <v>11218</v>
      </c>
      <c r="C1065" s="5">
        <v>3</v>
      </c>
      <c r="D1065" s="6" t="s">
        <v>1414</v>
      </c>
      <c r="E1065" s="6" t="s">
        <v>1414</v>
      </c>
    </row>
    <row r="1066" spans="1:5" x14ac:dyDescent="0.3">
      <c r="A1066" s="1" t="s">
        <v>1759</v>
      </c>
      <c r="B1066" s="4">
        <v>7714.31</v>
      </c>
      <c r="C1066" s="5">
        <v>21</v>
      </c>
      <c r="D1066" s="6">
        <v>1</v>
      </c>
      <c r="E1066" s="6" t="s">
        <v>1414</v>
      </c>
    </row>
    <row r="1067" spans="1:5" x14ac:dyDescent="0.3">
      <c r="A1067" s="1" t="s">
        <v>422</v>
      </c>
      <c r="B1067" s="4">
        <v>-389486.05</v>
      </c>
      <c r="C1067" s="5">
        <v>4</v>
      </c>
      <c r="D1067" s="6">
        <v>1</v>
      </c>
      <c r="E1067" s="6">
        <v>0.89594300000000004</v>
      </c>
    </row>
    <row r="1068" spans="1:5" x14ac:dyDescent="0.3">
      <c r="A1068" s="1" t="s">
        <v>780</v>
      </c>
      <c r="B1068" s="4">
        <v>-256227.14</v>
      </c>
      <c r="C1068" s="5">
        <v>17</v>
      </c>
      <c r="D1068" s="6">
        <v>0.98653900000000005</v>
      </c>
      <c r="E1068" s="6">
        <v>0.94692600000000005</v>
      </c>
    </row>
    <row r="1069" spans="1:5" x14ac:dyDescent="0.3">
      <c r="A1069" s="1" t="s">
        <v>1166</v>
      </c>
      <c r="B1069" s="4">
        <v>-46865.63</v>
      </c>
      <c r="C1069" s="5">
        <v>6</v>
      </c>
      <c r="D1069" s="6">
        <v>0.96857400000000005</v>
      </c>
      <c r="E1069" s="6">
        <v>0.665439</v>
      </c>
    </row>
    <row r="1070" spans="1:5" x14ac:dyDescent="0.3">
      <c r="A1070" s="1" t="s">
        <v>1760</v>
      </c>
      <c r="B1070" s="4">
        <v>643.16</v>
      </c>
      <c r="C1070" s="5">
        <v>42</v>
      </c>
      <c r="D1070" s="6">
        <v>1</v>
      </c>
      <c r="E1070" s="6" t="s">
        <v>1414</v>
      </c>
    </row>
    <row r="1071" spans="1:5" x14ac:dyDescent="0.3">
      <c r="A1071" s="1" t="s">
        <v>1963</v>
      </c>
      <c r="B1071" s="4">
        <v>141408.67000000001</v>
      </c>
      <c r="C1071" s="5">
        <v>8</v>
      </c>
      <c r="D1071" s="6">
        <v>1</v>
      </c>
      <c r="E1071" s="6" t="s">
        <v>1414</v>
      </c>
    </row>
    <row r="1072" spans="1:5" x14ac:dyDescent="0.3">
      <c r="A1072" s="1" t="s">
        <v>1528</v>
      </c>
      <c r="B1072" s="4">
        <v>5120.01</v>
      </c>
      <c r="C1072" s="5">
        <v>12</v>
      </c>
      <c r="D1072" s="6">
        <v>1</v>
      </c>
      <c r="E1072" s="6">
        <v>1</v>
      </c>
    </row>
    <row r="1073" spans="1:5" x14ac:dyDescent="0.3">
      <c r="A1073" s="1" t="s">
        <v>261</v>
      </c>
      <c r="B1073" s="4">
        <v>31765.15</v>
      </c>
      <c r="C1073" s="5">
        <v>23</v>
      </c>
      <c r="D1073" s="6">
        <v>0.99169499999999999</v>
      </c>
      <c r="E1073" s="6" t="s">
        <v>1414</v>
      </c>
    </row>
    <row r="1074" spans="1:5" x14ac:dyDescent="0.3">
      <c r="A1074" s="1" t="s">
        <v>716</v>
      </c>
      <c r="B1074" s="4">
        <v>93450.84</v>
      </c>
      <c r="C1074" s="5">
        <v>19</v>
      </c>
      <c r="D1074" s="6">
        <v>0.99890199999999996</v>
      </c>
      <c r="E1074" s="6" t="s">
        <v>1414</v>
      </c>
    </row>
    <row r="1075" spans="1:5" x14ac:dyDescent="0.3">
      <c r="A1075" s="1" t="s">
        <v>52</v>
      </c>
      <c r="B1075" s="4">
        <v>183915.82</v>
      </c>
      <c r="C1075" s="5">
        <v>22</v>
      </c>
      <c r="D1075" s="6">
        <v>0.99880599999999997</v>
      </c>
      <c r="E1075" s="6">
        <v>1</v>
      </c>
    </row>
    <row r="1076" spans="1:5" x14ac:dyDescent="0.3">
      <c r="A1076" s="1" t="s">
        <v>262</v>
      </c>
      <c r="B1076" s="4">
        <v>-226668.17</v>
      </c>
      <c r="C1076" s="5">
        <v>0</v>
      </c>
      <c r="D1076" s="6">
        <v>0.99165400000000004</v>
      </c>
      <c r="E1076" s="6">
        <v>1</v>
      </c>
    </row>
    <row r="1077" spans="1:5" x14ac:dyDescent="0.3">
      <c r="A1077" s="1" t="s">
        <v>1761</v>
      </c>
      <c r="B1077" s="4">
        <v>95076.54</v>
      </c>
      <c r="C1077" s="5">
        <v>17</v>
      </c>
      <c r="D1077" s="6">
        <v>1</v>
      </c>
      <c r="E1077" s="6">
        <v>1</v>
      </c>
    </row>
    <row r="1078" spans="1:5" x14ac:dyDescent="0.3">
      <c r="A1078" s="1" t="s">
        <v>1762</v>
      </c>
      <c r="B1078" s="4">
        <v>78739.929999999993</v>
      </c>
      <c r="C1078" s="5">
        <v>16</v>
      </c>
      <c r="D1078" s="6">
        <v>1</v>
      </c>
      <c r="E1078" s="6" t="s">
        <v>1414</v>
      </c>
    </row>
    <row r="1079" spans="1:5" x14ac:dyDescent="0.3">
      <c r="A1079" s="1" t="s">
        <v>1763</v>
      </c>
      <c r="B1079" s="4">
        <v>41045.9</v>
      </c>
      <c r="C1079" s="5">
        <v>12</v>
      </c>
      <c r="D1079" s="6">
        <v>1</v>
      </c>
      <c r="E1079" s="6">
        <v>1</v>
      </c>
    </row>
    <row r="1080" spans="1:5" x14ac:dyDescent="0.3">
      <c r="A1080" s="1" t="s">
        <v>1091</v>
      </c>
      <c r="B1080" s="4">
        <v>23033.39</v>
      </c>
      <c r="C1080" s="5">
        <v>18</v>
      </c>
      <c r="D1080" s="6">
        <v>0.98800699999999997</v>
      </c>
      <c r="E1080" s="6">
        <v>0.90471999999999997</v>
      </c>
    </row>
    <row r="1081" spans="1:5" x14ac:dyDescent="0.3">
      <c r="A1081" s="1" t="s">
        <v>346</v>
      </c>
      <c r="B1081" s="4">
        <v>0</v>
      </c>
      <c r="C1081" s="5">
        <v>0</v>
      </c>
      <c r="D1081" s="6" t="s">
        <v>1414</v>
      </c>
      <c r="E1081" s="6" t="s">
        <v>1414</v>
      </c>
    </row>
    <row r="1082" spans="1:5" x14ac:dyDescent="0.3">
      <c r="A1082" s="1" t="s">
        <v>1092</v>
      </c>
      <c r="B1082" s="4">
        <v>-225536.43</v>
      </c>
      <c r="C1082" s="5">
        <v>16</v>
      </c>
      <c r="D1082" s="6">
        <v>0.99577199999999999</v>
      </c>
      <c r="E1082" s="6">
        <v>0.959032</v>
      </c>
    </row>
    <row r="1083" spans="1:5" x14ac:dyDescent="0.3">
      <c r="A1083" s="1" t="s">
        <v>2119</v>
      </c>
      <c r="B1083" s="4">
        <v>-1537.22</v>
      </c>
      <c r="C1083" s="5">
        <v>18</v>
      </c>
      <c r="D1083" s="6">
        <v>0.99386799999999997</v>
      </c>
      <c r="E1083" s="6">
        <v>0.61787099999999995</v>
      </c>
    </row>
    <row r="1084" spans="1:5" x14ac:dyDescent="0.3">
      <c r="A1084" s="1" t="s">
        <v>263</v>
      </c>
      <c r="B1084" s="4">
        <v>-9862.77</v>
      </c>
      <c r="C1084" s="5">
        <v>7</v>
      </c>
      <c r="D1084" s="6">
        <v>0.98863800000000002</v>
      </c>
      <c r="E1084" s="6">
        <v>0</v>
      </c>
    </row>
    <row r="1085" spans="1:5" x14ac:dyDescent="0.3">
      <c r="A1085" s="1" t="s">
        <v>194</v>
      </c>
      <c r="B1085" s="4">
        <v>26806.240000000002</v>
      </c>
      <c r="C1085" s="5">
        <v>19</v>
      </c>
      <c r="D1085" s="6">
        <v>0.95223800000000003</v>
      </c>
      <c r="E1085" s="6">
        <v>0.34547699999999998</v>
      </c>
    </row>
    <row r="1086" spans="1:5" x14ac:dyDescent="0.3">
      <c r="A1086" s="1" t="s">
        <v>1529</v>
      </c>
      <c r="B1086" s="4">
        <v>94338.09</v>
      </c>
      <c r="C1086" s="5">
        <v>16</v>
      </c>
      <c r="D1086" s="6">
        <v>1</v>
      </c>
      <c r="E1086" s="6" t="s">
        <v>1414</v>
      </c>
    </row>
    <row r="1087" spans="1:5" x14ac:dyDescent="0.3">
      <c r="A1087" s="1" t="s">
        <v>1530</v>
      </c>
      <c r="B1087" s="4">
        <v>7524.03</v>
      </c>
      <c r="C1087" s="5">
        <v>7</v>
      </c>
      <c r="D1087" s="6">
        <v>1</v>
      </c>
      <c r="E1087" s="6">
        <v>0</v>
      </c>
    </row>
    <row r="1088" spans="1:5" x14ac:dyDescent="0.3">
      <c r="A1088" s="1" t="s">
        <v>1531</v>
      </c>
      <c r="B1088" s="4">
        <v>156581.64000000001</v>
      </c>
      <c r="C1088" s="5">
        <v>15</v>
      </c>
      <c r="D1088" s="6">
        <v>1</v>
      </c>
      <c r="E1088" s="6">
        <v>1</v>
      </c>
    </row>
    <row r="1089" spans="1:5" x14ac:dyDescent="0.3">
      <c r="A1089" s="1" t="s">
        <v>781</v>
      </c>
      <c r="B1089" s="4">
        <v>-44079.6</v>
      </c>
      <c r="C1089" s="5">
        <v>21</v>
      </c>
      <c r="D1089" s="6">
        <v>0.99208700000000005</v>
      </c>
      <c r="E1089" s="6">
        <v>0.47038799999999997</v>
      </c>
    </row>
    <row r="1090" spans="1:5" x14ac:dyDescent="0.3">
      <c r="A1090" s="1" t="s">
        <v>1093</v>
      </c>
      <c r="B1090" s="4">
        <v>-185508.14</v>
      </c>
      <c r="C1090" s="5">
        <v>1</v>
      </c>
      <c r="D1090" s="6">
        <v>0.99779300000000004</v>
      </c>
      <c r="E1090" s="6">
        <v>0.86995299999999998</v>
      </c>
    </row>
    <row r="1091" spans="1:5" x14ac:dyDescent="0.3">
      <c r="A1091" s="1" t="s">
        <v>53</v>
      </c>
      <c r="B1091" s="4">
        <v>25869.25</v>
      </c>
      <c r="C1091" s="5">
        <v>9</v>
      </c>
      <c r="D1091" s="6">
        <v>0.98602999999999996</v>
      </c>
      <c r="E1091" s="6">
        <v>0.88363599999999998</v>
      </c>
    </row>
    <row r="1092" spans="1:5" x14ac:dyDescent="0.3">
      <c r="A1092" s="1" t="s">
        <v>1532</v>
      </c>
      <c r="B1092" s="4">
        <v>-36682.39</v>
      </c>
      <c r="C1092" s="5">
        <v>17</v>
      </c>
      <c r="D1092" s="6">
        <v>0.98729199999999995</v>
      </c>
      <c r="E1092" s="6">
        <v>0.10249900000000001</v>
      </c>
    </row>
    <row r="1093" spans="1:5" x14ac:dyDescent="0.3">
      <c r="A1093" s="1" t="s">
        <v>717</v>
      </c>
      <c r="B1093" s="4">
        <v>-40805.49</v>
      </c>
      <c r="C1093" s="5">
        <v>13</v>
      </c>
      <c r="D1093" s="6">
        <v>0.96087</v>
      </c>
      <c r="E1093" s="6">
        <v>0.90277200000000002</v>
      </c>
    </row>
    <row r="1094" spans="1:5" x14ac:dyDescent="0.3">
      <c r="A1094" s="1" t="s">
        <v>1014</v>
      </c>
      <c r="B1094" s="4">
        <v>64464.59</v>
      </c>
      <c r="C1094" s="5">
        <v>22</v>
      </c>
      <c r="D1094" s="6">
        <v>1</v>
      </c>
      <c r="E1094" s="6" t="s">
        <v>1414</v>
      </c>
    </row>
    <row r="1095" spans="1:5" x14ac:dyDescent="0.3">
      <c r="A1095" s="1" t="s">
        <v>488</v>
      </c>
      <c r="B1095" s="4">
        <v>-256380.45</v>
      </c>
      <c r="C1095" s="5">
        <v>0</v>
      </c>
      <c r="D1095" s="6">
        <v>0.96564799999999995</v>
      </c>
      <c r="E1095" s="6">
        <v>0.992309</v>
      </c>
    </row>
    <row r="1096" spans="1:5" x14ac:dyDescent="0.3">
      <c r="A1096" s="1" t="s">
        <v>648</v>
      </c>
      <c r="B1096" s="4">
        <v>0</v>
      </c>
      <c r="C1096" s="5">
        <v>0</v>
      </c>
      <c r="D1096" s="6" t="s">
        <v>1414</v>
      </c>
      <c r="E1096" s="6" t="s">
        <v>1414</v>
      </c>
    </row>
    <row r="1097" spans="1:5" x14ac:dyDescent="0.3">
      <c r="A1097" s="1" t="s">
        <v>649</v>
      </c>
      <c r="B1097" s="4">
        <v>54093.31</v>
      </c>
      <c r="C1097" s="5">
        <v>19</v>
      </c>
      <c r="D1097" s="6">
        <v>0.98331800000000003</v>
      </c>
      <c r="E1097" s="6">
        <v>0.77656099999999995</v>
      </c>
    </row>
    <row r="1098" spans="1:5" x14ac:dyDescent="0.3">
      <c r="A1098" s="1" t="s">
        <v>1964</v>
      </c>
      <c r="B1098" s="4">
        <v>134125.60999999999</v>
      </c>
      <c r="C1098" s="5">
        <v>10</v>
      </c>
      <c r="D1098" s="6">
        <v>1</v>
      </c>
      <c r="E1098" s="6" t="s">
        <v>1414</v>
      </c>
    </row>
    <row r="1099" spans="1:5" x14ac:dyDescent="0.3">
      <c r="A1099" s="1" t="s">
        <v>1533</v>
      </c>
      <c r="B1099" s="4">
        <v>-40039.4</v>
      </c>
      <c r="C1099" s="5">
        <v>40</v>
      </c>
      <c r="D1099" s="6">
        <v>0.92360600000000004</v>
      </c>
      <c r="E1099" s="6">
        <v>0.34550700000000001</v>
      </c>
    </row>
    <row r="1100" spans="1:5" x14ac:dyDescent="0.3">
      <c r="A1100" s="1" t="s">
        <v>1167</v>
      </c>
      <c r="B1100" s="4">
        <v>-38082.65</v>
      </c>
      <c r="C1100" s="5">
        <v>17</v>
      </c>
      <c r="D1100" s="6">
        <v>1</v>
      </c>
      <c r="E1100" s="6">
        <v>1</v>
      </c>
    </row>
    <row r="1101" spans="1:5" x14ac:dyDescent="0.3">
      <c r="A1101" s="1" t="s">
        <v>347</v>
      </c>
      <c r="B1101" s="4">
        <v>10670.72</v>
      </c>
      <c r="C1101" s="5">
        <v>65</v>
      </c>
      <c r="D1101" s="6">
        <v>0.99377300000000002</v>
      </c>
      <c r="E1101" s="6">
        <v>0.23952000000000001</v>
      </c>
    </row>
    <row r="1102" spans="1:5" x14ac:dyDescent="0.3">
      <c r="A1102" s="1" t="s">
        <v>195</v>
      </c>
      <c r="B1102" s="4">
        <v>37721.519999999997</v>
      </c>
      <c r="C1102" s="5">
        <v>22</v>
      </c>
      <c r="D1102" s="6">
        <v>0.99565800000000004</v>
      </c>
      <c r="E1102" s="6">
        <v>1</v>
      </c>
    </row>
    <row r="1103" spans="1:5" x14ac:dyDescent="0.3">
      <c r="A1103" s="1" t="s">
        <v>1534</v>
      </c>
      <c r="B1103" s="4">
        <v>44294.52</v>
      </c>
      <c r="C1103" s="5">
        <v>23</v>
      </c>
      <c r="D1103" s="6">
        <v>0.95341500000000001</v>
      </c>
      <c r="E1103" s="6">
        <v>1</v>
      </c>
    </row>
    <row r="1104" spans="1:5" x14ac:dyDescent="0.3">
      <c r="A1104" s="1" t="s">
        <v>578</v>
      </c>
      <c r="B1104" s="4">
        <v>-25098.959999999999</v>
      </c>
      <c r="C1104" s="5">
        <v>15</v>
      </c>
      <c r="D1104" s="6">
        <v>0.97302299999999997</v>
      </c>
      <c r="E1104" s="6">
        <v>1</v>
      </c>
    </row>
    <row r="1105" spans="1:5" x14ac:dyDescent="0.3">
      <c r="A1105" s="1" t="s">
        <v>1965</v>
      </c>
      <c r="B1105" s="4">
        <v>62326.57</v>
      </c>
      <c r="C1105" s="5">
        <v>9</v>
      </c>
      <c r="D1105" s="6">
        <v>0.99534999999999996</v>
      </c>
      <c r="E1105" s="6" t="s">
        <v>1414</v>
      </c>
    </row>
    <row r="1106" spans="1:5" x14ac:dyDescent="0.3">
      <c r="A1106" s="1" t="s">
        <v>1764</v>
      </c>
      <c r="B1106" s="4">
        <v>56964.45</v>
      </c>
      <c r="C1106" s="5">
        <v>11</v>
      </c>
      <c r="D1106" s="6">
        <v>0.99908399999999997</v>
      </c>
      <c r="E1106" s="6">
        <v>1</v>
      </c>
    </row>
    <row r="1107" spans="1:5" x14ac:dyDescent="0.3">
      <c r="A1107" s="1" t="s">
        <v>489</v>
      </c>
      <c r="B1107" s="4">
        <v>80290.559999999998</v>
      </c>
      <c r="C1107" s="5">
        <v>24</v>
      </c>
      <c r="D1107" s="6">
        <v>0.99417299999999997</v>
      </c>
      <c r="E1107" s="6">
        <v>1</v>
      </c>
    </row>
    <row r="1108" spans="1:5" x14ac:dyDescent="0.3">
      <c r="A1108" s="1" t="s">
        <v>1535</v>
      </c>
      <c r="B1108" s="4">
        <v>98050.96</v>
      </c>
      <c r="C1108" s="5">
        <v>16</v>
      </c>
      <c r="D1108" s="6">
        <v>1</v>
      </c>
      <c r="E1108" s="6">
        <v>1</v>
      </c>
    </row>
    <row r="1109" spans="1:5" x14ac:dyDescent="0.3">
      <c r="A1109" s="1" t="s">
        <v>862</v>
      </c>
      <c r="B1109" s="4">
        <v>21887.37</v>
      </c>
      <c r="C1109" s="5">
        <v>16</v>
      </c>
      <c r="D1109" s="6">
        <v>0.99976200000000004</v>
      </c>
      <c r="E1109" s="6">
        <v>1</v>
      </c>
    </row>
    <row r="1110" spans="1:5" x14ac:dyDescent="0.3">
      <c r="A1110" s="1" t="s">
        <v>1765</v>
      </c>
      <c r="B1110" s="4">
        <v>-107625.15</v>
      </c>
      <c r="C1110" s="5">
        <v>11</v>
      </c>
      <c r="D1110" s="6">
        <v>0.99918399999999996</v>
      </c>
      <c r="E1110" s="6">
        <v>0.55767800000000001</v>
      </c>
    </row>
    <row r="1111" spans="1:5" x14ac:dyDescent="0.3">
      <c r="A1111" s="1" t="s">
        <v>650</v>
      </c>
      <c r="B1111" s="4">
        <v>75956.37</v>
      </c>
      <c r="C1111" s="5">
        <v>15</v>
      </c>
      <c r="D1111" s="6">
        <v>1</v>
      </c>
      <c r="E1111" s="6">
        <v>1</v>
      </c>
    </row>
    <row r="1112" spans="1:5" x14ac:dyDescent="0.3">
      <c r="A1112" s="1" t="s">
        <v>782</v>
      </c>
      <c r="B1112" s="4">
        <v>158320.25</v>
      </c>
      <c r="C1112" s="5">
        <v>17</v>
      </c>
      <c r="D1112" s="6">
        <v>1</v>
      </c>
      <c r="E1112" s="6">
        <v>1</v>
      </c>
    </row>
    <row r="1113" spans="1:5" x14ac:dyDescent="0.3">
      <c r="A1113" s="1" t="s">
        <v>1168</v>
      </c>
      <c r="B1113" s="4">
        <v>96171.78</v>
      </c>
      <c r="C1113" s="5">
        <v>18</v>
      </c>
      <c r="D1113" s="6">
        <v>1</v>
      </c>
      <c r="E1113" s="6">
        <v>1</v>
      </c>
    </row>
    <row r="1114" spans="1:5" x14ac:dyDescent="0.3">
      <c r="A1114" s="1" t="s">
        <v>1536</v>
      </c>
      <c r="B1114" s="4">
        <v>143652.4</v>
      </c>
      <c r="C1114" s="5">
        <v>23</v>
      </c>
      <c r="D1114" s="6">
        <v>1</v>
      </c>
      <c r="E1114" s="6">
        <v>1</v>
      </c>
    </row>
    <row r="1115" spans="1:5" x14ac:dyDescent="0.3">
      <c r="A1115" s="1" t="s">
        <v>651</v>
      </c>
      <c r="B1115" s="4">
        <v>57990.25</v>
      </c>
      <c r="C1115" s="5">
        <v>25</v>
      </c>
      <c r="D1115" s="6">
        <v>0.99776699999999996</v>
      </c>
      <c r="E1115" s="6">
        <v>1</v>
      </c>
    </row>
    <row r="1116" spans="1:5" x14ac:dyDescent="0.3">
      <c r="A1116" s="1" t="s">
        <v>1094</v>
      </c>
      <c r="B1116" s="4">
        <v>12048.08</v>
      </c>
      <c r="C1116" s="5">
        <v>11</v>
      </c>
      <c r="D1116" s="6">
        <v>1</v>
      </c>
      <c r="E1116" s="6">
        <v>0.59975699999999998</v>
      </c>
    </row>
    <row r="1117" spans="1:5" x14ac:dyDescent="0.3">
      <c r="A1117" s="1" t="s">
        <v>1766</v>
      </c>
      <c r="B1117" s="4">
        <v>66721.679999999993</v>
      </c>
      <c r="C1117" s="5">
        <v>12</v>
      </c>
      <c r="D1117" s="6">
        <v>0.98916000000000004</v>
      </c>
      <c r="E1117" s="6" t="s">
        <v>1414</v>
      </c>
    </row>
    <row r="1118" spans="1:5" x14ac:dyDescent="0.3">
      <c r="A1118" s="1" t="s">
        <v>1767</v>
      </c>
      <c r="B1118" s="4">
        <v>19637.13</v>
      </c>
      <c r="C1118" s="5">
        <v>40</v>
      </c>
      <c r="D1118" s="6">
        <v>0.92377100000000001</v>
      </c>
      <c r="E1118" s="6">
        <v>0.70076700000000003</v>
      </c>
    </row>
    <row r="1119" spans="1:5" x14ac:dyDescent="0.3">
      <c r="A1119" s="1" t="s">
        <v>1537</v>
      </c>
      <c r="B1119" s="4">
        <v>-151959.34</v>
      </c>
      <c r="C1119" s="5">
        <v>11</v>
      </c>
      <c r="D1119" s="6">
        <v>0.96194199999999996</v>
      </c>
      <c r="E1119" s="6" t="s">
        <v>1414</v>
      </c>
    </row>
    <row r="1120" spans="1:5" x14ac:dyDescent="0.3">
      <c r="A1120" s="1" t="s">
        <v>1966</v>
      </c>
      <c r="B1120" s="4">
        <v>-67241.1899999999</v>
      </c>
      <c r="C1120" s="5">
        <v>0</v>
      </c>
      <c r="D1120" s="6">
        <v>0.99531499999999995</v>
      </c>
      <c r="E1120" s="6">
        <v>0.66596900000000003</v>
      </c>
    </row>
    <row r="1121" spans="1:5" x14ac:dyDescent="0.3">
      <c r="A1121" s="1" t="s">
        <v>652</v>
      </c>
      <c r="B1121" s="4">
        <v>-70981.45</v>
      </c>
      <c r="C1121" s="5">
        <v>12</v>
      </c>
      <c r="D1121" s="6">
        <v>0.96475599999999995</v>
      </c>
      <c r="E1121" s="6">
        <v>1</v>
      </c>
    </row>
    <row r="1122" spans="1:5" x14ac:dyDescent="0.3">
      <c r="A1122" s="1" t="s">
        <v>1967</v>
      </c>
      <c r="B1122" s="4">
        <v>21556.37</v>
      </c>
      <c r="C1122" s="5">
        <v>57</v>
      </c>
      <c r="D1122" s="6">
        <v>1</v>
      </c>
      <c r="E1122" s="6" t="s">
        <v>1414</v>
      </c>
    </row>
    <row r="1123" spans="1:5" x14ac:dyDescent="0.3">
      <c r="A1123" s="1" t="s">
        <v>1095</v>
      </c>
      <c r="B1123" s="4">
        <v>-72340.5</v>
      </c>
      <c r="C1123" s="5">
        <v>14</v>
      </c>
      <c r="D1123" s="6">
        <v>0.99853899999999995</v>
      </c>
      <c r="E1123" s="6">
        <v>0.72570100000000004</v>
      </c>
    </row>
    <row r="1124" spans="1:5" x14ac:dyDescent="0.3">
      <c r="A1124" s="1" t="s">
        <v>490</v>
      </c>
      <c r="B1124" s="4">
        <v>34919.72</v>
      </c>
      <c r="C1124" s="5">
        <v>15</v>
      </c>
      <c r="D1124" s="6">
        <v>0.99606799999999995</v>
      </c>
      <c r="E1124" s="6">
        <v>1</v>
      </c>
    </row>
    <row r="1125" spans="1:5" x14ac:dyDescent="0.3">
      <c r="A1125" s="1" t="s">
        <v>653</v>
      </c>
      <c r="B1125" s="4">
        <v>0</v>
      </c>
      <c r="C1125" s="5">
        <v>0</v>
      </c>
      <c r="D1125" s="6" t="s">
        <v>1414</v>
      </c>
      <c r="E1125" s="6" t="s">
        <v>1414</v>
      </c>
    </row>
    <row r="1126" spans="1:5" x14ac:dyDescent="0.3">
      <c r="A1126" s="1" t="s">
        <v>491</v>
      </c>
      <c r="B1126" s="4">
        <v>56342.55</v>
      </c>
      <c r="C1126" s="5">
        <v>28</v>
      </c>
      <c r="D1126" s="6">
        <v>0.996919</v>
      </c>
      <c r="E1126" s="6">
        <v>0.73159300000000005</v>
      </c>
    </row>
    <row r="1127" spans="1:5" x14ac:dyDescent="0.3">
      <c r="A1127" s="1" t="s">
        <v>1538</v>
      </c>
      <c r="B1127" s="4">
        <v>-55162.19</v>
      </c>
      <c r="C1127" s="5">
        <v>13</v>
      </c>
      <c r="D1127" s="6">
        <v>0.99581600000000003</v>
      </c>
      <c r="E1127" s="6">
        <v>0.70697399999999999</v>
      </c>
    </row>
    <row r="1128" spans="1:5" x14ac:dyDescent="0.3">
      <c r="A1128" s="1" t="s">
        <v>1768</v>
      </c>
      <c r="B1128" s="4">
        <v>22241.77</v>
      </c>
      <c r="C1128" s="5">
        <v>38</v>
      </c>
      <c r="D1128" s="6">
        <v>0.99797499999999995</v>
      </c>
      <c r="E1128" s="6">
        <v>1</v>
      </c>
    </row>
    <row r="1129" spans="1:5" x14ac:dyDescent="0.3">
      <c r="A1129" s="1" t="s">
        <v>423</v>
      </c>
      <c r="B1129" s="4">
        <v>-121796.87</v>
      </c>
      <c r="C1129" s="5">
        <v>8</v>
      </c>
      <c r="D1129" s="6">
        <v>0.98391700000000004</v>
      </c>
      <c r="E1129" s="6">
        <v>1</v>
      </c>
    </row>
    <row r="1130" spans="1:5" x14ac:dyDescent="0.3">
      <c r="A1130" s="1" t="s">
        <v>492</v>
      </c>
      <c r="B1130" s="4">
        <v>-2436.6799999999998</v>
      </c>
      <c r="C1130" s="5">
        <v>18</v>
      </c>
      <c r="D1130" s="6">
        <v>0.98112999999999995</v>
      </c>
      <c r="E1130" s="6">
        <v>0.78098100000000004</v>
      </c>
    </row>
    <row r="1131" spans="1:5" x14ac:dyDescent="0.3">
      <c r="A1131" s="1" t="s">
        <v>1015</v>
      </c>
      <c r="B1131" s="4">
        <v>16764.16</v>
      </c>
      <c r="C1131" s="5">
        <v>20</v>
      </c>
      <c r="D1131" s="6">
        <v>0.93478499999999998</v>
      </c>
      <c r="E1131" s="6">
        <v>0.96825799999999995</v>
      </c>
    </row>
    <row r="1132" spans="1:5" x14ac:dyDescent="0.3">
      <c r="A1132" s="1" t="s">
        <v>2120</v>
      </c>
      <c r="B1132" s="4">
        <v>83530</v>
      </c>
      <c r="C1132" s="5">
        <v>6</v>
      </c>
      <c r="D1132" s="6" t="s">
        <v>1414</v>
      </c>
      <c r="E1132" s="6" t="s">
        <v>1414</v>
      </c>
    </row>
    <row r="1133" spans="1:5" x14ac:dyDescent="0.3">
      <c r="A1133" s="1" t="s">
        <v>718</v>
      </c>
      <c r="B1133" s="4">
        <v>85847.84</v>
      </c>
      <c r="C1133" s="5">
        <v>19</v>
      </c>
      <c r="D1133" s="6">
        <v>0.998282</v>
      </c>
      <c r="E1133" s="6">
        <v>0.87612500000000004</v>
      </c>
    </row>
    <row r="1134" spans="1:5" x14ac:dyDescent="0.3">
      <c r="A1134" s="1" t="s">
        <v>117</v>
      </c>
      <c r="B1134" s="4">
        <v>21685.09</v>
      </c>
      <c r="C1134" s="5">
        <v>84</v>
      </c>
      <c r="D1134" s="6">
        <v>0.99088500000000002</v>
      </c>
      <c r="E1134" s="6">
        <v>0.96975</v>
      </c>
    </row>
    <row r="1135" spans="1:5" x14ac:dyDescent="0.3">
      <c r="A1135" s="1" t="s">
        <v>196</v>
      </c>
      <c r="B1135" s="4">
        <v>9113.49</v>
      </c>
      <c r="C1135" s="5">
        <v>92</v>
      </c>
      <c r="D1135" s="6">
        <v>0.97914699999999999</v>
      </c>
      <c r="E1135" s="6">
        <v>0.81220999999999999</v>
      </c>
    </row>
    <row r="1136" spans="1:5" x14ac:dyDescent="0.3">
      <c r="A1136" s="1" t="s">
        <v>1169</v>
      </c>
      <c r="B1136" s="4">
        <v>-13777.03</v>
      </c>
      <c r="C1136" s="5">
        <v>17</v>
      </c>
      <c r="D1136" s="6">
        <v>0.990645</v>
      </c>
      <c r="E1136" s="6">
        <v>0.97933199999999998</v>
      </c>
    </row>
    <row r="1137" spans="1:5" x14ac:dyDescent="0.3">
      <c r="A1137" s="1" t="s">
        <v>719</v>
      </c>
      <c r="B1137" s="4">
        <v>-85113.13</v>
      </c>
      <c r="C1137" s="5">
        <v>14</v>
      </c>
      <c r="D1137" s="6">
        <v>0.97781899999999999</v>
      </c>
      <c r="E1137" s="6">
        <v>0.93446200000000001</v>
      </c>
    </row>
    <row r="1138" spans="1:5" x14ac:dyDescent="0.3">
      <c r="A1138" s="1" t="s">
        <v>945</v>
      </c>
      <c r="B1138" s="4">
        <v>92115.71</v>
      </c>
      <c r="C1138" s="5">
        <v>20</v>
      </c>
      <c r="D1138" s="6">
        <v>0.98753800000000003</v>
      </c>
      <c r="E1138" s="6">
        <v>0.88557799999999998</v>
      </c>
    </row>
    <row r="1139" spans="1:5" x14ac:dyDescent="0.3">
      <c r="A1139" s="1" t="s">
        <v>348</v>
      </c>
      <c r="B1139" s="4">
        <v>8009.57</v>
      </c>
      <c r="C1139" s="5">
        <v>16</v>
      </c>
      <c r="D1139" s="6">
        <v>0.99801700000000004</v>
      </c>
      <c r="E1139" s="6">
        <v>1</v>
      </c>
    </row>
    <row r="1140" spans="1:5" x14ac:dyDescent="0.3">
      <c r="A1140" s="1" t="s">
        <v>1968</v>
      </c>
      <c r="B1140" s="4">
        <v>123133.39</v>
      </c>
      <c r="C1140" s="5">
        <v>6</v>
      </c>
      <c r="D1140" s="6">
        <v>1</v>
      </c>
      <c r="E1140" s="6" t="s">
        <v>1414</v>
      </c>
    </row>
    <row r="1141" spans="1:5" x14ac:dyDescent="0.3">
      <c r="A1141" s="1" t="s">
        <v>2121</v>
      </c>
      <c r="B1141" s="4">
        <v>182856.37</v>
      </c>
      <c r="C1141" s="5">
        <v>8</v>
      </c>
      <c r="D1141" s="6">
        <v>1</v>
      </c>
      <c r="E1141" s="6" t="s">
        <v>1414</v>
      </c>
    </row>
    <row r="1142" spans="1:5" x14ac:dyDescent="0.3">
      <c r="A1142" s="7" t="s">
        <v>118</v>
      </c>
      <c r="B1142" s="8">
        <v>41891.56</v>
      </c>
      <c r="C1142" s="9">
        <v>17</v>
      </c>
      <c r="D1142" s="10">
        <v>0.99132299999999995</v>
      </c>
      <c r="E1142" s="10">
        <v>0.58161499999999999</v>
      </c>
    </row>
    <row r="1143" spans="1:5" x14ac:dyDescent="0.3">
      <c r="A1143" s="1" t="s">
        <v>197</v>
      </c>
      <c r="B1143" s="4">
        <v>52633.54</v>
      </c>
      <c r="C1143" s="5">
        <v>77</v>
      </c>
      <c r="D1143" s="6">
        <v>0.97514900000000004</v>
      </c>
      <c r="E1143" s="6" t="s">
        <v>1414</v>
      </c>
    </row>
    <row r="1144" spans="1:5" x14ac:dyDescent="0.3">
      <c r="A1144" s="1" t="s">
        <v>264</v>
      </c>
      <c r="B1144" s="4">
        <v>-251203.14</v>
      </c>
      <c r="C1144" s="5">
        <v>1</v>
      </c>
      <c r="D1144" s="6">
        <v>0.96578900000000001</v>
      </c>
      <c r="E1144" s="6">
        <v>0.73489099999999996</v>
      </c>
    </row>
    <row r="1145" spans="1:5" x14ac:dyDescent="0.3">
      <c r="A1145" s="1" t="s">
        <v>1539</v>
      </c>
      <c r="B1145" s="4">
        <v>-297794.53000000003</v>
      </c>
      <c r="C1145" s="5">
        <v>12</v>
      </c>
      <c r="D1145" s="6">
        <v>0.93127499999999996</v>
      </c>
      <c r="E1145" s="6">
        <v>1</v>
      </c>
    </row>
    <row r="1146" spans="1:5" x14ac:dyDescent="0.3">
      <c r="A1146" s="1" t="s">
        <v>54</v>
      </c>
      <c r="B1146" s="4">
        <v>15151.5</v>
      </c>
      <c r="C1146" s="5">
        <v>13</v>
      </c>
      <c r="D1146" s="6">
        <v>1</v>
      </c>
      <c r="E1146" s="6">
        <v>1</v>
      </c>
    </row>
    <row r="1147" spans="1:5" x14ac:dyDescent="0.3">
      <c r="A1147" s="1" t="s">
        <v>1769</v>
      </c>
      <c r="B1147" s="4">
        <v>107846.38</v>
      </c>
      <c r="C1147" s="5">
        <v>18</v>
      </c>
      <c r="D1147" s="6">
        <v>0.96009500000000003</v>
      </c>
      <c r="E1147" s="6">
        <v>0.97968500000000003</v>
      </c>
    </row>
    <row r="1148" spans="1:5" x14ac:dyDescent="0.3">
      <c r="A1148" s="1" t="s">
        <v>198</v>
      </c>
      <c r="B1148" s="4">
        <v>-125100.88</v>
      </c>
      <c r="C1148" s="5">
        <v>9</v>
      </c>
      <c r="D1148" s="6">
        <v>0.99456999999999995</v>
      </c>
      <c r="E1148" s="6">
        <v>1</v>
      </c>
    </row>
    <row r="1149" spans="1:5" x14ac:dyDescent="0.3">
      <c r="A1149" s="1" t="s">
        <v>720</v>
      </c>
      <c r="B1149" s="4">
        <v>-123161.39</v>
      </c>
      <c r="C1149" s="5">
        <v>0</v>
      </c>
      <c r="D1149" s="6">
        <v>0.96558500000000003</v>
      </c>
      <c r="E1149" s="6">
        <v>1</v>
      </c>
    </row>
    <row r="1150" spans="1:5" x14ac:dyDescent="0.3">
      <c r="A1150" s="1" t="s">
        <v>1170</v>
      </c>
      <c r="B1150" s="4">
        <v>-8030.92</v>
      </c>
      <c r="C1150" s="5">
        <v>12</v>
      </c>
      <c r="D1150" s="6">
        <v>1</v>
      </c>
      <c r="E1150" s="6">
        <v>0.29538900000000001</v>
      </c>
    </row>
    <row r="1151" spans="1:5" x14ac:dyDescent="0.3">
      <c r="A1151" s="1" t="s">
        <v>783</v>
      </c>
      <c r="B1151" s="4">
        <v>65228.06</v>
      </c>
      <c r="C1151" s="5">
        <v>11</v>
      </c>
      <c r="D1151" s="6">
        <v>1</v>
      </c>
      <c r="E1151" s="6">
        <v>0.95921599999999996</v>
      </c>
    </row>
    <row r="1152" spans="1:5" x14ac:dyDescent="0.3">
      <c r="A1152" s="1" t="s">
        <v>1540</v>
      </c>
      <c r="B1152" s="4">
        <v>21758.05</v>
      </c>
      <c r="C1152" s="5">
        <v>15</v>
      </c>
      <c r="D1152" s="6">
        <v>1</v>
      </c>
      <c r="E1152" s="6" t="s">
        <v>1414</v>
      </c>
    </row>
    <row r="1153" spans="1:5" x14ac:dyDescent="0.3">
      <c r="A1153" s="1" t="s">
        <v>784</v>
      </c>
      <c r="B1153" s="4">
        <v>36416.06</v>
      </c>
      <c r="C1153" s="5">
        <v>17</v>
      </c>
      <c r="D1153" s="6">
        <v>0.99897899999999995</v>
      </c>
      <c r="E1153" s="6">
        <v>0.956395</v>
      </c>
    </row>
    <row r="1154" spans="1:5" x14ac:dyDescent="0.3">
      <c r="A1154" s="1" t="s">
        <v>1541</v>
      </c>
      <c r="B1154" s="4">
        <v>10975.45</v>
      </c>
      <c r="C1154" s="5">
        <v>13</v>
      </c>
      <c r="D1154" s="6">
        <v>0.99917699999999998</v>
      </c>
      <c r="E1154" s="6">
        <v>0.402111</v>
      </c>
    </row>
    <row r="1155" spans="1:5" x14ac:dyDescent="0.3">
      <c r="A1155" s="1" t="s">
        <v>1096</v>
      </c>
      <c r="B1155" s="4">
        <v>114270.06</v>
      </c>
      <c r="C1155" s="5">
        <v>23</v>
      </c>
      <c r="D1155" s="6">
        <v>0.99711700000000003</v>
      </c>
      <c r="E1155" s="6">
        <v>0.25626100000000002</v>
      </c>
    </row>
    <row r="1156" spans="1:5" x14ac:dyDescent="0.3">
      <c r="A1156" s="1" t="s">
        <v>424</v>
      </c>
      <c r="B1156" s="4">
        <v>88536.52</v>
      </c>
      <c r="C1156" s="5">
        <v>24</v>
      </c>
      <c r="D1156" s="6">
        <v>1</v>
      </c>
      <c r="E1156" s="6" t="s">
        <v>1414</v>
      </c>
    </row>
    <row r="1157" spans="1:5" x14ac:dyDescent="0.3">
      <c r="A1157" s="1" t="s">
        <v>1770</v>
      </c>
      <c r="B1157" s="4">
        <v>-11161.8</v>
      </c>
      <c r="C1157" s="5">
        <v>51</v>
      </c>
      <c r="D1157" s="6">
        <v>1</v>
      </c>
      <c r="E1157" s="6" t="s">
        <v>1414</v>
      </c>
    </row>
    <row r="1158" spans="1:5" x14ac:dyDescent="0.3">
      <c r="A1158" s="1" t="s">
        <v>654</v>
      </c>
      <c r="B1158" s="4">
        <v>9627.48</v>
      </c>
      <c r="C1158" s="5">
        <v>85</v>
      </c>
      <c r="D1158" s="6">
        <v>0.99171200000000004</v>
      </c>
      <c r="E1158" s="6">
        <v>2.3317999999999998E-2</v>
      </c>
    </row>
    <row r="1159" spans="1:5" x14ac:dyDescent="0.3">
      <c r="A1159" s="1" t="s">
        <v>863</v>
      </c>
      <c r="B1159" s="4">
        <v>118938.2</v>
      </c>
      <c r="C1159" s="5">
        <v>19</v>
      </c>
      <c r="D1159" s="6">
        <v>0.99507599999999996</v>
      </c>
      <c r="E1159" s="6">
        <v>0.83484899999999995</v>
      </c>
    </row>
    <row r="1160" spans="1:5" x14ac:dyDescent="0.3">
      <c r="A1160" s="1" t="s">
        <v>119</v>
      </c>
      <c r="B1160" s="4">
        <v>290940.17</v>
      </c>
      <c r="C1160" s="5">
        <v>27</v>
      </c>
      <c r="D1160" s="6">
        <v>1</v>
      </c>
      <c r="E1160" s="6">
        <v>1</v>
      </c>
    </row>
    <row r="1161" spans="1:5" x14ac:dyDescent="0.3">
      <c r="A1161" s="1" t="s">
        <v>1097</v>
      </c>
      <c r="B1161" s="4">
        <v>-77696.27</v>
      </c>
      <c r="C1161" s="5">
        <v>9</v>
      </c>
      <c r="D1161" s="6">
        <v>1</v>
      </c>
      <c r="E1161" s="6">
        <v>1</v>
      </c>
    </row>
    <row r="1162" spans="1:5" x14ac:dyDescent="0.3">
      <c r="A1162" s="1" t="s">
        <v>721</v>
      </c>
      <c r="B1162" s="4">
        <v>-29075.35</v>
      </c>
      <c r="C1162" s="5">
        <v>13</v>
      </c>
      <c r="D1162" s="6">
        <v>0.98524999999999996</v>
      </c>
      <c r="E1162" s="6">
        <v>0.72138100000000005</v>
      </c>
    </row>
    <row r="1163" spans="1:5" x14ac:dyDescent="0.3">
      <c r="A1163" s="1" t="s">
        <v>1771</v>
      </c>
      <c r="B1163" s="4">
        <v>80072.13</v>
      </c>
      <c r="C1163" s="5">
        <v>98</v>
      </c>
      <c r="D1163" s="6">
        <v>0.99336000000000002</v>
      </c>
      <c r="E1163" s="6" t="s">
        <v>1414</v>
      </c>
    </row>
    <row r="1164" spans="1:5" x14ac:dyDescent="0.3">
      <c r="A1164" s="1" t="s">
        <v>1772</v>
      </c>
      <c r="B1164" s="4">
        <v>-21909.82</v>
      </c>
      <c r="C1164" s="5">
        <v>50</v>
      </c>
      <c r="D1164" s="6">
        <v>0.96127099999999999</v>
      </c>
      <c r="E1164" s="6">
        <v>0.51038899999999998</v>
      </c>
    </row>
    <row r="1165" spans="1:5" x14ac:dyDescent="0.3">
      <c r="A1165" s="1" t="s">
        <v>2122</v>
      </c>
      <c r="B1165" s="4">
        <v>149053.01</v>
      </c>
      <c r="C1165" s="5">
        <v>16</v>
      </c>
      <c r="D1165" s="6">
        <v>1</v>
      </c>
      <c r="E1165" s="6" t="s">
        <v>1414</v>
      </c>
    </row>
    <row r="1166" spans="1:5" x14ac:dyDescent="0.3">
      <c r="A1166" s="1" t="s">
        <v>864</v>
      </c>
      <c r="B1166" s="4">
        <v>-16757.990000000002</v>
      </c>
      <c r="C1166" s="5">
        <v>22</v>
      </c>
      <c r="D1166" s="6">
        <v>0.97851999999999995</v>
      </c>
      <c r="E1166" s="6">
        <v>0.13254099999999999</v>
      </c>
    </row>
    <row r="1167" spans="1:5" x14ac:dyDescent="0.3">
      <c r="A1167" s="1" t="s">
        <v>2123</v>
      </c>
      <c r="B1167" s="4">
        <v>156239.63</v>
      </c>
      <c r="C1167" s="5">
        <v>12</v>
      </c>
      <c r="D1167" s="6">
        <v>1</v>
      </c>
      <c r="E1167" s="6" t="s">
        <v>1414</v>
      </c>
    </row>
    <row r="1168" spans="1:5" x14ac:dyDescent="0.3">
      <c r="A1168" s="1" t="s">
        <v>1773</v>
      </c>
      <c r="B1168" s="4">
        <v>52374.35</v>
      </c>
      <c r="C1168" s="5">
        <v>19</v>
      </c>
      <c r="D1168" s="6">
        <v>0.98951599999999995</v>
      </c>
      <c r="E1168" s="6">
        <v>1</v>
      </c>
    </row>
    <row r="1169" spans="1:5" x14ac:dyDescent="0.3">
      <c r="A1169" s="1" t="s">
        <v>1542</v>
      </c>
      <c r="B1169" s="4">
        <v>7386.78</v>
      </c>
      <c r="C1169" s="5">
        <v>65</v>
      </c>
      <c r="D1169" s="6">
        <v>0.98208700000000004</v>
      </c>
      <c r="E1169" s="6">
        <v>0.78649000000000002</v>
      </c>
    </row>
    <row r="1170" spans="1:5" x14ac:dyDescent="0.3">
      <c r="A1170" s="1" t="s">
        <v>1016</v>
      </c>
      <c r="B1170" s="4">
        <v>11198.58</v>
      </c>
      <c r="C1170" s="5">
        <v>12</v>
      </c>
      <c r="D1170" s="6">
        <v>0.98356399999999999</v>
      </c>
      <c r="E1170" s="6">
        <v>0.96134699999999995</v>
      </c>
    </row>
    <row r="1171" spans="1:5" x14ac:dyDescent="0.3">
      <c r="A1171" s="1" t="s">
        <v>1774</v>
      </c>
      <c r="B1171" s="4">
        <v>-18529.080000000002</v>
      </c>
      <c r="C1171" s="5">
        <v>30</v>
      </c>
      <c r="D1171" s="6">
        <v>0.99806600000000001</v>
      </c>
      <c r="E1171" s="6" t="s">
        <v>1414</v>
      </c>
    </row>
    <row r="1172" spans="1:5" x14ac:dyDescent="0.3">
      <c r="A1172" s="1" t="s">
        <v>55</v>
      </c>
      <c r="B1172" s="4">
        <v>-24209.98</v>
      </c>
      <c r="C1172" s="5">
        <v>41</v>
      </c>
      <c r="D1172" s="6">
        <v>0.98342600000000002</v>
      </c>
      <c r="E1172" s="6" t="s">
        <v>1414</v>
      </c>
    </row>
    <row r="1173" spans="1:5" x14ac:dyDescent="0.3">
      <c r="A1173" s="1" t="s">
        <v>1969</v>
      </c>
      <c r="B1173" s="4">
        <v>-1243.1400000000001</v>
      </c>
      <c r="C1173" s="5">
        <v>1</v>
      </c>
      <c r="D1173" s="6">
        <v>0.86332399999999998</v>
      </c>
      <c r="E1173" s="6" t="s">
        <v>1414</v>
      </c>
    </row>
    <row r="1174" spans="1:5" x14ac:dyDescent="0.3">
      <c r="A1174" s="1" t="s">
        <v>579</v>
      </c>
      <c r="B1174" s="4">
        <v>-132617.96</v>
      </c>
      <c r="C1174" s="5">
        <v>10</v>
      </c>
      <c r="D1174" s="6">
        <v>0.97905299999999995</v>
      </c>
      <c r="E1174" s="6">
        <v>0.595445</v>
      </c>
    </row>
    <row r="1175" spans="1:5" x14ac:dyDescent="0.3">
      <c r="A1175" s="1" t="s">
        <v>1543</v>
      </c>
      <c r="B1175" s="4">
        <v>-41887.89</v>
      </c>
      <c r="C1175" s="5">
        <v>12</v>
      </c>
      <c r="D1175" s="6">
        <v>0.98363199999999995</v>
      </c>
      <c r="E1175" s="6">
        <v>0.23305400000000001</v>
      </c>
    </row>
    <row r="1176" spans="1:5" x14ac:dyDescent="0.3">
      <c r="A1176" s="1" t="s">
        <v>1775</v>
      </c>
      <c r="B1176" s="4">
        <v>86807.28</v>
      </c>
      <c r="C1176" s="5">
        <v>105</v>
      </c>
      <c r="D1176" s="6">
        <v>0.99419199999999996</v>
      </c>
      <c r="E1176" s="6">
        <v>1</v>
      </c>
    </row>
    <row r="1177" spans="1:5" x14ac:dyDescent="0.3">
      <c r="A1177" s="1" t="s">
        <v>1970</v>
      </c>
      <c r="B1177" s="4">
        <v>2836.58</v>
      </c>
      <c r="C1177" s="5">
        <v>20</v>
      </c>
      <c r="D1177" s="6">
        <v>1</v>
      </c>
      <c r="E1177" s="6" t="s">
        <v>1414</v>
      </c>
    </row>
    <row r="1178" spans="1:5" x14ac:dyDescent="0.3">
      <c r="A1178" s="1" t="s">
        <v>56</v>
      </c>
      <c r="B1178" s="4">
        <v>-185640.36</v>
      </c>
      <c r="C1178" s="5">
        <v>0</v>
      </c>
      <c r="D1178" s="6">
        <v>0.94387500000000002</v>
      </c>
      <c r="E1178" s="6">
        <v>0.77946000000000004</v>
      </c>
    </row>
    <row r="1179" spans="1:5" x14ac:dyDescent="0.3">
      <c r="A1179" s="1" t="s">
        <v>349</v>
      </c>
      <c r="B1179" s="4">
        <v>68523.88</v>
      </c>
      <c r="C1179" s="5">
        <v>13</v>
      </c>
      <c r="D1179" s="6">
        <v>0.99495900000000004</v>
      </c>
      <c r="E1179" s="6">
        <v>8.0242999999999995E-2</v>
      </c>
    </row>
    <row r="1180" spans="1:5" x14ac:dyDescent="0.3">
      <c r="A1180" s="1" t="s">
        <v>120</v>
      </c>
      <c r="B1180" s="4">
        <v>59313.3</v>
      </c>
      <c r="C1180" s="5">
        <v>15</v>
      </c>
      <c r="D1180" s="6">
        <v>0.97267999999999999</v>
      </c>
      <c r="E1180" s="6">
        <v>0.49257000000000001</v>
      </c>
    </row>
    <row r="1181" spans="1:5" x14ac:dyDescent="0.3">
      <c r="A1181" s="1" t="s">
        <v>493</v>
      </c>
      <c r="B1181" s="4">
        <v>-86348.26</v>
      </c>
      <c r="C1181" s="5">
        <v>5</v>
      </c>
      <c r="D1181" s="6">
        <v>0.98332399999999998</v>
      </c>
      <c r="E1181" s="6">
        <v>0.297518</v>
      </c>
    </row>
    <row r="1182" spans="1:5" x14ac:dyDescent="0.3">
      <c r="A1182" s="1" t="s">
        <v>655</v>
      </c>
      <c r="B1182" s="4">
        <v>55141.4</v>
      </c>
      <c r="C1182" s="5">
        <v>18</v>
      </c>
      <c r="D1182" s="6">
        <v>0.98972800000000005</v>
      </c>
      <c r="E1182" s="6">
        <v>0</v>
      </c>
    </row>
    <row r="1183" spans="1:5" x14ac:dyDescent="0.3">
      <c r="A1183" s="1" t="s">
        <v>1544</v>
      </c>
      <c r="B1183" s="4">
        <v>-28024.21</v>
      </c>
      <c r="C1183" s="5">
        <v>18</v>
      </c>
      <c r="D1183" s="6">
        <v>0.99799599999999999</v>
      </c>
      <c r="E1183" s="6">
        <v>4.9070999999999997E-2</v>
      </c>
    </row>
    <row r="1184" spans="1:5" x14ac:dyDescent="0.3">
      <c r="A1184" s="1" t="s">
        <v>1971</v>
      </c>
      <c r="B1184" s="4">
        <v>55458.94</v>
      </c>
      <c r="C1184" s="5">
        <v>9</v>
      </c>
      <c r="D1184" s="6">
        <v>1</v>
      </c>
      <c r="E1184" s="6" t="s">
        <v>1414</v>
      </c>
    </row>
    <row r="1185" spans="1:5" x14ac:dyDescent="0.3">
      <c r="A1185" s="1" t="s">
        <v>2124</v>
      </c>
      <c r="B1185" s="4">
        <v>9347</v>
      </c>
      <c r="C1185" s="5">
        <v>7</v>
      </c>
      <c r="D1185" s="6" t="s">
        <v>1414</v>
      </c>
      <c r="E1185" s="6" t="s">
        <v>1414</v>
      </c>
    </row>
    <row r="1186" spans="1:5" x14ac:dyDescent="0.3">
      <c r="A1186" s="1" t="s">
        <v>121</v>
      </c>
      <c r="B1186" s="4">
        <v>55955.7</v>
      </c>
      <c r="C1186" s="5">
        <v>109</v>
      </c>
      <c r="D1186" s="6">
        <v>0.98658900000000005</v>
      </c>
      <c r="E1186" s="6">
        <v>1</v>
      </c>
    </row>
    <row r="1187" spans="1:5" x14ac:dyDescent="0.3">
      <c r="A1187" s="1" t="s">
        <v>350</v>
      </c>
      <c r="B1187" s="4">
        <v>-144929.16</v>
      </c>
      <c r="C1187" s="5">
        <v>7</v>
      </c>
      <c r="D1187" s="6">
        <v>0.99829100000000004</v>
      </c>
      <c r="E1187" s="6">
        <v>1</v>
      </c>
    </row>
    <row r="1188" spans="1:5" x14ac:dyDescent="0.3">
      <c r="A1188" s="1" t="s">
        <v>1545</v>
      </c>
      <c r="B1188" s="4">
        <v>-114352.32000000001</v>
      </c>
      <c r="C1188" s="5">
        <v>22</v>
      </c>
      <c r="D1188" s="6">
        <v>0.991039</v>
      </c>
      <c r="E1188" s="6">
        <v>0.65149000000000001</v>
      </c>
    </row>
    <row r="1189" spans="1:5" x14ac:dyDescent="0.3">
      <c r="A1189" s="1" t="s">
        <v>351</v>
      </c>
      <c r="B1189" s="4">
        <v>-84875.55</v>
      </c>
      <c r="C1189" s="5">
        <v>13</v>
      </c>
      <c r="D1189" s="6">
        <v>0.99816899999999997</v>
      </c>
      <c r="E1189" s="6">
        <v>1</v>
      </c>
    </row>
    <row r="1190" spans="1:5" x14ac:dyDescent="0.3">
      <c r="A1190" s="1" t="s">
        <v>580</v>
      </c>
      <c r="B1190" s="4">
        <v>284252.86</v>
      </c>
      <c r="C1190" s="5">
        <v>21</v>
      </c>
      <c r="D1190" s="6">
        <v>0.99503600000000003</v>
      </c>
      <c r="E1190" s="6">
        <v>1</v>
      </c>
    </row>
    <row r="1191" spans="1:5" x14ac:dyDescent="0.3">
      <c r="A1191" s="1" t="s">
        <v>1776</v>
      </c>
      <c r="B1191" s="4">
        <v>44038.879999999997</v>
      </c>
      <c r="C1191" s="5">
        <v>13</v>
      </c>
      <c r="D1191" s="6">
        <v>0.98783799999999999</v>
      </c>
      <c r="E1191" s="6" t="s">
        <v>1414</v>
      </c>
    </row>
    <row r="1192" spans="1:5" x14ac:dyDescent="0.3">
      <c r="A1192" s="1" t="s">
        <v>1546</v>
      </c>
      <c r="B1192" s="4">
        <v>-44717.02</v>
      </c>
      <c r="C1192" s="5">
        <v>13</v>
      </c>
      <c r="D1192" s="6">
        <v>0.906331</v>
      </c>
      <c r="E1192" s="6">
        <v>1</v>
      </c>
    </row>
    <row r="1193" spans="1:5" x14ac:dyDescent="0.3">
      <c r="A1193" s="1" t="s">
        <v>946</v>
      </c>
      <c r="B1193" s="4">
        <v>114366.5</v>
      </c>
      <c r="C1193" s="5">
        <v>20</v>
      </c>
      <c r="D1193" s="6">
        <v>0.99952799999999997</v>
      </c>
      <c r="E1193" s="6">
        <v>0.873552</v>
      </c>
    </row>
    <row r="1194" spans="1:5" x14ac:dyDescent="0.3">
      <c r="A1194" s="1" t="s">
        <v>352</v>
      </c>
      <c r="B1194" s="4">
        <v>174472.95</v>
      </c>
      <c r="C1194" s="5">
        <v>22</v>
      </c>
      <c r="D1194" s="6">
        <v>0.98709400000000003</v>
      </c>
      <c r="E1194" s="6">
        <v>0.90261999999999998</v>
      </c>
    </row>
    <row r="1195" spans="1:5" x14ac:dyDescent="0.3">
      <c r="A1195" s="1" t="s">
        <v>581</v>
      </c>
      <c r="B1195" s="4">
        <v>-166741.51999999999</v>
      </c>
      <c r="C1195" s="5">
        <v>10</v>
      </c>
      <c r="D1195" s="6">
        <v>0.995417</v>
      </c>
      <c r="E1195" s="6">
        <v>1</v>
      </c>
    </row>
    <row r="1196" spans="1:5" x14ac:dyDescent="0.3">
      <c r="A1196" s="1" t="s">
        <v>1777</v>
      </c>
      <c r="B1196" s="4">
        <v>24633.23</v>
      </c>
      <c r="C1196" s="5">
        <v>11</v>
      </c>
      <c r="D1196" s="6">
        <v>0.99065800000000004</v>
      </c>
      <c r="E1196" s="6">
        <v>0.44934000000000002</v>
      </c>
    </row>
    <row r="1197" spans="1:5" x14ac:dyDescent="0.3">
      <c r="A1197" s="1" t="s">
        <v>1098</v>
      </c>
      <c r="B1197" s="4">
        <v>34957.620000000003</v>
      </c>
      <c r="C1197" s="5">
        <v>27</v>
      </c>
      <c r="D1197" s="6">
        <v>0.999475</v>
      </c>
      <c r="E1197" s="6">
        <v>0.97849200000000003</v>
      </c>
    </row>
    <row r="1198" spans="1:5" x14ac:dyDescent="0.3">
      <c r="A1198" s="1" t="s">
        <v>865</v>
      </c>
      <c r="B1198" s="4">
        <v>-346757.31</v>
      </c>
      <c r="C1198" s="5">
        <v>18</v>
      </c>
      <c r="D1198" s="6">
        <v>0.95791800000000005</v>
      </c>
      <c r="E1198" s="6">
        <v>0.60033300000000001</v>
      </c>
    </row>
    <row r="1199" spans="1:5" x14ac:dyDescent="0.3">
      <c r="A1199" s="1" t="s">
        <v>1778</v>
      </c>
      <c r="B1199" s="4">
        <v>-3728.8</v>
      </c>
      <c r="C1199" s="5">
        <v>4</v>
      </c>
      <c r="D1199" s="6">
        <v>1</v>
      </c>
      <c r="E1199" s="6" t="s">
        <v>1414</v>
      </c>
    </row>
    <row r="1200" spans="1:5" x14ac:dyDescent="0.3">
      <c r="A1200" s="1" t="s">
        <v>785</v>
      </c>
      <c r="B1200" s="4">
        <v>-23958.57</v>
      </c>
      <c r="C1200" s="5">
        <v>19</v>
      </c>
      <c r="D1200" s="6">
        <v>0.99542600000000003</v>
      </c>
      <c r="E1200" s="6">
        <v>0.73686700000000005</v>
      </c>
    </row>
    <row r="1201" spans="1:5" x14ac:dyDescent="0.3">
      <c r="A1201" s="1" t="s">
        <v>1547</v>
      </c>
      <c r="B1201" s="4">
        <v>-11728.12</v>
      </c>
      <c r="C1201" s="5">
        <v>17</v>
      </c>
      <c r="D1201" s="6">
        <v>0.99826999999999999</v>
      </c>
      <c r="E1201" s="6">
        <v>0.55308400000000002</v>
      </c>
    </row>
    <row r="1202" spans="1:5" x14ac:dyDescent="0.3">
      <c r="A1202" t="s">
        <v>1548</v>
      </c>
      <c r="B1202">
        <v>30769.17</v>
      </c>
      <c r="C1202">
        <v>16</v>
      </c>
      <c r="D1202">
        <v>0.98595299999999997</v>
      </c>
      <c r="E1202">
        <v>0</v>
      </c>
    </row>
    <row r="1203" spans="1:5" x14ac:dyDescent="0.3">
      <c r="A1203" t="s">
        <v>1549</v>
      </c>
      <c r="B1203">
        <v>34049.85</v>
      </c>
      <c r="C1203">
        <v>14</v>
      </c>
      <c r="D1203">
        <v>0.99231000000000003</v>
      </c>
      <c r="E1203">
        <v>1</v>
      </c>
    </row>
    <row r="1204" spans="1:5" x14ac:dyDescent="0.3">
      <c r="A1204" t="s">
        <v>866</v>
      </c>
      <c r="B1204">
        <v>-20636.57</v>
      </c>
      <c r="C1204">
        <v>17</v>
      </c>
      <c r="D1204">
        <v>0.99869200000000002</v>
      </c>
      <c r="E1204">
        <v>0.44848900000000003</v>
      </c>
    </row>
    <row r="1205" spans="1:5" x14ac:dyDescent="0.3">
      <c r="A1205" t="s">
        <v>1779</v>
      </c>
      <c r="B1205">
        <v>-83240.960000000006</v>
      </c>
      <c r="C1205">
        <v>10</v>
      </c>
      <c r="D1205">
        <v>0.98924599999999996</v>
      </c>
      <c r="E1205">
        <v>0.67032400000000003</v>
      </c>
    </row>
    <row r="1206" spans="1:5" x14ac:dyDescent="0.3">
      <c r="A1206" t="s">
        <v>722</v>
      </c>
      <c r="B1206">
        <v>-172255.78</v>
      </c>
      <c r="C1206">
        <v>16</v>
      </c>
      <c r="D1206">
        <v>0.98950499999999997</v>
      </c>
      <c r="E1206">
        <v>0.63451000000000002</v>
      </c>
    </row>
    <row r="1207" spans="1:5" x14ac:dyDescent="0.3">
      <c r="A1207" t="s">
        <v>1550</v>
      </c>
      <c r="B1207">
        <v>48600.89</v>
      </c>
      <c r="C1207">
        <v>11</v>
      </c>
      <c r="D1207">
        <v>1</v>
      </c>
      <c r="E1207" t="s">
        <v>1414</v>
      </c>
    </row>
    <row r="1208" spans="1:5" x14ac:dyDescent="0.3">
      <c r="A1208" t="s">
        <v>1780</v>
      </c>
      <c r="B1208">
        <v>-16519.91</v>
      </c>
      <c r="C1208">
        <v>9</v>
      </c>
      <c r="D1208">
        <v>0.91561700000000001</v>
      </c>
      <c r="E1208">
        <v>0.755548</v>
      </c>
    </row>
    <row r="1209" spans="1:5" x14ac:dyDescent="0.3">
      <c r="A1209" t="s">
        <v>867</v>
      </c>
      <c r="B1209">
        <v>-59112.66</v>
      </c>
      <c r="C1209">
        <v>3</v>
      </c>
      <c r="D1209">
        <v>0.99756299999999998</v>
      </c>
      <c r="E1209">
        <v>0</v>
      </c>
    </row>
    <row r="1210" spans="1:5" x14ac:dyDescent="0.3">
      <c r="A1210" t="s">
        <v>947</v>
      </c>
      <c r="B1210">
        <v>-3865.64</v>
      </c>
      <c r="C1210">
        <v>20</v>
      </c>
      <c r="D1210">
        <v>0.99734299999999998</v>
      </c>
      <c r="E1210">
        <v>1</v>
      </c>
    </row>
    <row r="1211" spans="1:5" x14ac:dyDescent="0.3">
      <c r="A1211" t="s">
        <v>1972</v>
      </c>
      <c r="B1211">
        <v>144215.28</v>
      </c>
      <c r="C1211">
        <v>17</v>
      </c>
      <c r="D1211">
        <v>1</v>
      </c>
      <c r="E1211" t="s">
        <v>1414</v>
      </c>
    </row>
    <row r="1212" spans="1:5" x14ac:dyDescent="0.3">
      <c r="A1212" t="s">
        <v>948</v>
      </c>
      <c r="B1212">
        <v>-114526.95</v>
      </c>
      <c r="C1212">
        <v>19</v>
      </c>
      <c r="D1212">
        <v>0.98279700000000003</v>
      </c>
      <c r="E1212">
        <v>0.38821299999999997</v>
      </c>
    </row>
    <row r="1213" spans="1:5" x14ac:dyDescent="0.3">
      <c r="A1213" t="s">
        <v>2125</v>
      </c>
      <c r="B1213">
        <v>17755</v>
      </c>
      <c r="C1213">
        <v>7</v>
      </c>
      <c r="D1213" t="s">
        <v>1414</v>
      </c>
      <c r="E1213" t="s">
        <v>1414</v>
      </c>
    </row>
    <row r="1214" spans="1:5" x14ac:dyDescent="0.3">
      <c r="A1214" t="s">
        <v>425</v>
      </c>
      <c r="B1214">
        <v>53953.34</v>
      </c>
      <c r="C1214">
        <v>22</v>
      </c>
      <c r="D1214">
        <v>1</v>
      </c>
      <c r="E1214">
        <v>1</v>
      </c>
    </row>
    <row r="1215" spans="1:5" x14ac:dyDescent="0.3">
      <c r="A1215" t="s">
        <v>723</v>
      </c>
      <c r="B1215">
        <v>89728.29</v>
      </c>
      <c r="C1215">
        <v>55</v>
      </c>
      <c r="D1215" t="s">
        <v>1414</v>
      </c>
      <c r="E1215" t="s">
        <v>1414</v>
      </c>
    </row>
    <row r="1216" spans="1:5" x14ac:dyDescent="0.3">
      <c r="A1216" t="s">
        <v>1781</v>
      </c>
      <c r="B1216">
        <v>11599.78</v>
      </c>
      <c r="C1216">
        <v>12</v>
      </c>
      <c r="D1216">
        <v>1</v>
      </c>
      <c r="E1216" t="s">
        <v>1414</v>
      </c>
    </row>
    <row r="1217" spans="1:5" x14ac:dyDescent="0.3">
      <c r="A1217" t="s">
        <v>1099</v>
      </c>
      <c r="B1217">
        <v>-28921.5</v>
      </c>
      <c r="C1217">
        <v>64</v>
      </c>
      <c r="D1217">
        <v>0.98803799999999997</v>
      </c>
      <c r="E1217">
        <v>1</v>
      </c>
    </row>
    <row r="1218" spans="1:5" x14ac:dyDescent="0.3">
      <c r="A1218" t="s">
        <v>1782</v>
      </c>
      <c r="B1218">
        <v>-26086.16</v>
      </c>
      <c r="C1218">
        <v>51</v>
      </c>
      <c r="D1218">
        <v>0.974472</v>
      </c>
      <c r="E1218">
        <v>0.53229499999999996</v>
      </c>
    </row>
    <row r="1219" spans="1:5" x14ac:dyDescent="0.3">
      <c r="A1219" t="s">
        <v>1973</v>
      </c>
      <c r="B1219">
        <v>14033.05</v>
      </c>
      <c r="C1219">
        <v>9</v>
      </c>
      <c r="D1219">
        <v>1</v>
      </c>
      <c r="E1219" t="s">
        <v>1414</v>
      </c>
    </row>
    <row r="1220" spans="1:5" x14ac:dyDescent="0.3">
      <c r="A1220" t="s">
        <v>2126</v>
      </c>
      <c r="B1220">
        <v>-25159.970000000201</v>
      </c>
      <c r="C1220">
        <v>11</v>
      </c>
      <c r="D1220">
        <v>1</v>
      </c>
      <c r="E1220">
        <v>1</v>
      </c>
    </row>
    <row r="1221" spans="1:5" x14ac:dyDescent="0.3">
      <c r="A1221" t="s">
        <v>426</v>
      </c>
      <c r="B1221">
        <v>75317.8</v>
      </c>
      <c r="C1221">
        <v>26</v>
      </c>
      <c r="D1221">
        <v>0.94849899999999998</v>
      </c>
      <c r="E1221">
        <v>0.38731700000000002</v>
      </c>
    </row>
    <row r="1222" spans="1:5" x14ac:dyDescent="0.3">
      <c r="A1222" t="s">
        <v>57</v>
      </c>
      <c r="B1222">
        <v>-67114.16</v>
      </c>
      <c r="C1222">
        <v>16</v>
      </c>
      <c r="D1222">
        <v>0.99938199999999999</v>
      </c>
      <c r="E1222">
        <v>0.70450400000000002</v>
      </c>
    </row>
    <row r="1223" spans="1:5" x14ac:dyDescent="0.3">
      <c r="A1223" t="s">
        <v>786</v>
      </c>
      <c r="B1223">
        <v>73890.16</v>
      </c>
      <c r="C1223">
        <v>12</v>
      </c>
      <c r="D1223">
        <v>0.99868699999999999</v>
      </c>
      <c r="E1223">
        <v>5.3596999999999999E-2</v>
      </c>
    </row>
    <row r="1224" spans="1:5" x14ac:dyDescent="0.3">
      <c r="A1224" t="s">
        <v>2127</v>
      </c>
      <c r="B1224">
        <v>116631.67</v>
      </c>
      <c r="C1224">
        <v>11</v>
      </c>
      <c r="D1224">
        <v>1</v>
      </c>
      <c r="E1224" t="s">
        <v>1414</v>
      </c>
    </row>
    <row r="1225" spans="1:5" x14ac:dyDescent="0.3">
      <c r="A1225" t="s">
        <v>494</v>
      </c>
      <c r="B1225">
        <v>-82087.73</v>
      </c>
      <c r="C1225">
        <v>15</v>
      </c>
      <c r="D1225">
        <v>0.99770400000000004</v>
      </c>
      <c r="E1225">
        <v>0.55780700000000005</v>
      </c>
    </row>
    <row r="1226" spans="1:5" x14ac:dyDescent="0.3">
      <c r="A1226" t="s">
        <v>1783</v>
      </c>
      <c r="B1226">
        <v>-25315.759999999998</v>
      </c>
      <c r="C1226">
        <v>10</v>
      </c>
      <c r="D1226">
        <v>0.923489</v>
      </c>
      <c r="E1226">
        <v>0.44053399999999998</v>
      </c>
    </row>
    <row r="1227" spans="1:5" x14ac:dyDescent="0.3">
      <c r="A1227" t="s">
        <v>2128</v>
      </c>
      <c r="B1227">
        <v>125575</v>
      </c>
      <c r="C1227">
        <v>6</v>
      </c>
      <c r="D1227" t="s">
        <v>1414</v>
      </c>
      <c r="E1227" t="s">
        <v>1414</v>
      </c>
    </row>
    <row r="1228" spans="1:5" x14ac:dyDescent="0.3">
      <c r="A1228" t="s">
        <v>1551</v>
      </c>
      <c r="B1228">
        <v>-71997.73</v>
      </c>
      <c r="C1228">
        <v>3</v>
      </c>
      <c r="D1228">
        <v>0.94860500000000003</v>
      </c>
      <c r="E1228" t="s">
        <v>1414</v>
      </c>
    </row>
    <row r="1229" spans="1:5" x14ac:dyDescent="0.3">
      <c r="A1229" t="s">
        <v>868</v>
      </c>
      <c r="B1229">
        <v>-51518.83</v>
      </c>
      <c r="C1229">
        <v>17</v>
      </c>
      <c r="D1229">
        <v>1</v>
      </c>
      <c r="E1229">
        <v>0.81088800000000005</v>
      </c>
    </row>
    <row r="1230" spans="1:5" x14ac:dyDescent="0.3">
      <c r="A1230" t="s">
        <v>2129</v>
      </c>
      <c r="B1230">
        <v>17049</v>
      </c>
      <c r="C1230">
        <v>9</v>
      </c>
      <c r="D1230" t="s">
        <v>1414</v>
      </c>
      <c r="E1230" t="s">
        <v>1414</v>
      </c>
    </row>
    <row r="1231" spans="1:5" x14ac:dyDescent="0.3">
      <c r="A1231" t="s">
        <v>1171</v>
      </c>
      <c r="B1231">
        <v>22072.13</v>
      </c>
      <c r="C1231">
        <v>22</v>
      </c>
      <c r="D1231">
        <v>0.99941999999999998</v>
      </c>
      <c r="E1231">
        <v>0.98607400000000001</v>
      </c>
    </row>
    <row r="1232" spans="1:5" x14ac:dyDescent="0.3">
      <c r="A1232" t="s">
        <v>2130</v>
      </c>
      <c r="B1232">
        <v>72711</v>
      </c>
      <c r="C1232">
        <v>10</v>
      </c>
      <c r="D1232" t="s">
        <v>1414</v>
      </c>
      <c r="E1232" t="s">
        <v>1414</v>
      </c>
    </row>
    <row r="1233" spans="1:5" x14ac:dyDescent="0.3">
      <c r="A1233" t="s">
        <v>2131</v>
      </c>
      <c r="B1233">
        <v>6200</v>
      </c>
      <c r="C1233">
        <v>4</v>
      </c>
      <c r="D1233" t="s">
        <v>1414</v>
      </c>
      <c r="E1233" t="s">
        <v>1414</v>
      </c>
    </row>
    <row r="1234" spans="1:5" x14ac:dyDescent="0.3">
      <c r="A1234" t="s">
        <v>724</v>
      </c>
      <c r="B1234">
        <v>-104184.08</v>
      </c>
      <c r="C1234">
        <v>18</v>
      </c>
      <c r="D1234">
        <v>0.99290500000000004</v>
      </c>
      <c r="E1234">
        <v>0.84581899999999999</v>
      </c>
    </row>
    <row r="1235" spans="1:5" x14ac:dyDescent="0.3">
      <c r="A1235" t="s">
        <v>199</v>
      </c>
      <c r="B1235">
        <v>-39548.97</v>
      </c>
      <c r="C1235">
        <v>19</v>
      </c>
      <c r="D1235">
        <v>0.996305</v>
      </c>
      <c r="E1235">
        <v>0.54518800000000001</v>
      </c>
    </row>
    <row r="1236" spans="1:5" x14ac:dyDescent="0.3">
      <c r="A1236" t="s">
        <v>725</v>
      </c>
      <c r="B1236">
        <v>171745.94</v>
      </c>
      <c r="C1236">
        <v>17</v>
      </c>
      <c r="D1236">
        <v>0.98172099999999995</v>
      </c>
      <c r="E1236">
        <v>1</v>
      </c>
    </row>
    <row r="1237" spans="1:5" x14ac:dyDescent="0.3">
      <c r="A1237" t="s">
        <v>949</v>
      </c>
      <c r="B1237">
        <v>163059.49</v>
      </c>
      <c r="C1237">
        <v>25</v>
      </c>
      <c r="D1237">
        <v>0.99726199999999998</v>
      </c>
      <c r="E1237">
        <v>0.96104999999999996</v>
      </c>
    </row>
    <row r="1238" spans="1:5" x14ac:dyDescent="0.3">
      <c r="A1238" t="s">
        <v>1784</v>
      </c>
      <c r="B1238">
        <v>16720.59</v>
      </c>
      <c r="C1238">
        <v>53</v>
      </c>
      <c r="D1238">
        <v>1</v>
      </c>
      <c r="E1238" t="s">
        <v>1414</v>
      </c>
    </row>
    <row r="1239" spans="1:5" x14ac:dyDescent="0.3">
      <c r="A1239" t="s">
        <v>950</v>
      </c>
      <c r="B1239">
        <v>14238.52</v>
      </c>
      <c r="C1239">
        <v>9</v>
      </c>
      <c r="D1239">
        <v>0.93179400000000001</v>
      </c>
      <c r="E1239" t="s">
        <v>1414</v>
      </c>
    </row>
    <row r="1240" spans="1:5" x14ac:dyDescent="0.3">
      <c r="A1240" t="s">
        <v>1785</v>
      </c>
      <c r="B1240">
        <v>-116332.99</v>
      </c>
      <c r="C1240">
        <v>16</v>
      </c>
      <c r="D1240">
        <v>0.98459300000000005</v>
      </c>
      <c r="E1240">
        <v>1</v>
      </c>
    </row>
    <row r="1241" spans="1:5" x14ac:dyDescent="0.3">
      <c r="A1241" t="s">
        <v>200</v>
      </c>
      <c r="B1241">
        <v>46466.49</v>
      </c>
      <c r="C1241">
        <v>24</v>
      </c>
      <c r="D1241">
        <v>0.99285400000000001</v>
      </c>
      <c r="E1241">
        <v>0.35648800000000003</v>
      </c>
    </row>
    <row r="1242" spans="1:5" x14ac:dyDescent="0.3">
      <c r="A1242" t="s">
        <v>1552</v>
      </c>
      <c r="B1242">
        <v>45221.73</v>
      </c>
      <c r="C1242">
        <v>16</v>
      </c>
      <c r="D1242">
        <v>0.99953599999999998</v>
      </c>
      <c r="E1242">
        <v>1</v>
      </c>
    </row>
    <row r="1243" spans="1:5" x14ac:dyDescent="0.3">
      <c r="A1243" t="s">
        <v>1786</v>
      </c>
      <c r="B1243">
        <v>18303.3</v>
      </c>
      <c r="C1243">
        <v>44</v>
      </c>
      <c r="D1243">
        <v>0.97043199999999996</v>
      </c>
      <c r="E1243">
        <v>0.15402399999999999</v>
      </c>
    </row>
    <row r="1244" spans="1:5" x14ac:dyDescent="0.3">
      <c r="A1244" t="s">
        <v>656</v>
      </c>
      <c r="B1244">
        <v>-8395.18</v>
      </c>
      <c r="C1244">
        <v>16</v>
      </c>
      <c r="D1244">
        <v>0.97867599999999999</v>
      </c>
      <c r="E1244">
        <v>1</v>
      </c>
    </row>
    <row r="1245" spans="1:5" x14ac:dyDescent="0.3">
      <c r="A1245" t="s">
        <v>2132</v>
      </c>
      <c r="B1245">
        <v>10000</v>
      </c>
      <c r="C1245">
        <v>10</v>
      </c>
      <c r="D1245" t="s">
        <v>1414</v>
      </c>
      <c r="E1245" t="s">
        <v>1414</v>
      </c>
    </row>
    <row r="1246" spans="1:5" x14ac:dyDescent="0.3">
      <c r="A1246" t="s">
        <v>1553</v>
      </c>
      <c r="B1246">
        <v>-144059.48000000001</v>
      </c>
      <c r="C1246">
        <v>5</v>
      </c>
      <c r="D1246">
        <v>0.99429599999999996</v>
      </c>
      <c r="E1246">
        <v>0.26001400000000002</v>
      </c>
    </row>
    <row r="1247" spans="1:5" x14ac:dyDescent="0.3">
      <c r="A1247" t="s">
        <v>2133</v>
      </c>
      <c r="B1247">
        <v>-147644.44</v>
      </c>
      <c r="C1247">
        <v>2</v>
      </c>
      <c r="D1247">
        <v>0.95552700000000002</v>
      </c>
      <c r="E1247">
        <v>0.71012500000000001</v>
      </c>
    </row>
    <row r="1248" spans="1:5" x14ac:dyDescent="0.3">
      <c r="A1248" t="s">
        <v>353</v>
      </c>
      <c r="B1248">
        <v>-264221.12</v>
      </c>
      <c r="C1248">
        <v>20</v>
      </c>
      <c r="D1248">
        <v>0.97077199999999997</v>
      </c>
      <c r="E1248">
        <v>6.7391000000000006E-2</v>
      </c>
    </row>
    <row r="1249" spans="1:5" x14ac:dyDescent="0.3">
      <c r="A1249" t="s">
        <v>354</v>
      </c>
      <c r="B1249">
        <v>-47866.03</v>
      </c>
      <c r="C1249">
        <v>17</v>
      </c>
      <c r="D1249">
        <v>0.99051</v>
      </c>
      <c r="E1249">
        <v>0.67854499999999995</v>
      </c>
    </row>
    <row r="1250" spans="1:5" x14ac:dyDescent="0.3">
      <c r="A1250" t="s">
        <v>58</v>
      </c>
      <c r="B1250">
        <v>-324977.61</v>
      </c>
      <c r="C1250">
        <v>9</v>
      </c>
      <c r="D1250">
        <v>0.99307000000000001</v>
      </c>
      <c r="E1250">
        <v>1</v>
      </c>
    </row>
    <row r="1251" spans="1:5" x14ac:dyDescent="0.3">
      <c r="A1251" t="s">
        <v>265</v>
      </c>
      <c r="B1251">
        <v>118975.94</v>
      </c>
      <c r="C1251">
        <v>20</v>
      </c>
      <c r="D1251">
        <v>0.99023600000000001</v>
      </c>
      <c r="E1251">
        <v>1</v>
      </c>
    </row>
    <row r="1252" spans="1:5" x14ac:dyDescent="0.3">
      <c r="A1252" t="s">
        <v>1787</v>
      </c>
      <c r="B1252">
        <v>34129.129999999997</v>
      </c>
      <c r="C1252">
        <v>14</v>
      </c>
      <c r="D1252">
        <v>1</v>
      </c>
      <c r="E1252" t="s">
        <v>1414</v>
      </c>
    </row>
    <row r="1253" spans="1:5" x14ac:dyDescent="0.3">
      <c r="A1253" t="s">
        <v>1554</v>
      </c>
      <c r="B1253">
        <v>77186.61</v>
      </c>
      <c r="C1253">
        <v>19</v>
      </c>
      <c r="D1253">
        <v>1</v>
      </c>
      <c r="E1253" t="s">
        <v>1414</v>
      </c>
    </row>
    <row r="1254" spans="1:5" x14ac:dyDescent="0.3">
      <c r="A1254" t="s">
        <v>1017</v>
      </c>
      <c r="B1254">
        <v>105617.92</v>
      </c>
      <c r="C1254">
        <v>117</v>
      </c>
      <c r="D1254">
        <v>0.97645999999999999</v>
      </c>
      <c r="E1254">
        <v>0.79674999999999996</v>
      </c>
    </row>
    <row r="1255" spans="1:5" x14ac:dyDescent="0.3">
      <c r="A1255" t="s">
        <v>1788</v>
      </c>
      <c r="B1255">
        <v>-557.30999999999995</v>
      </c>
      <c r="C1255">
        <v>40</v>
      </c>
      <c r="D1255">
        <v>0.90785700000000003</v>
      </c>
      <c r="E1255" t="s">
        <v>1414</v>
      </c>
    </row>
    <row r="1256" spans="1:5" x14ac:dyDescent="0.3">
      <c r="A1256" t="s">
        <v>1100</v>
      </c>
      <c r="B1256">
        <v>37151.800000000003</v>
      </c>
      <c r="C1256">
        <v>19</v>
      </c>
      <c r="D1256">
        <v>1</v>
      </c>
      <c r="E1256">
        <v>1</v>
      </c>
    </row>
    <row r="1257" spans="1:5" x14ac:dyDescent="0.3">
      <c r="A1257" t="s">
        <v>1789</v>
      </c>
      <c r="B1257">
        <v>145248.82</v>
      </c>
      <c r="C1257">
        <v>11</v>
      </c>
      <c r="D1257">
        <v>1</v>
      </c>
      <c r="E1257" t="s">
        <v>1414</v>
      </c>
    </row>
    <row r="1258" spans="1:5" x14ac:dyDescent="0.3">
      <c r="A1258" t="s">
        <v>2134</v>
      </c>
      <c r="B1258">
        <v>-20586.97</v>
      </c>
      <c r="C1258">
        <v>8</v>
      </c>
      <c r="D1258">
        <v>1</v>
      </c>
      <c r="E1258" t="s">
        <v>1414</v>
      </c>
    </row>
    <row r="1259" spans="1:5" x14ac:dyDescent="0.3">
      <c r="A1259" t="s">
        <v>1172</v>
      </c>
      <c r="B1259">
        <v>-26142.74</v>
      </c>
      <c r="C1259">
        <v>34</v>
      </c>
      <c r="D1259">
        <v>0.98429199999999994</v>
      </c>
      <c r="E1259">
        <v>0.72797500000000004</v>
      </c>
    </row>
    <row r="1260" spans="1:5" x14ac:dyDescent="0.3">
      <c r="A1260" t="s">
        <v>1974</v>
      </c>
      <c r="B1260">
        <v>51529.06</v>
      </c>
      <c r="C1260">
        <v>7</v>
      </c>
      <c r="D1260">
        <v>0.99755799999999994</v>
      </c>
      <c r="E1260" t="s">
        <v>1414</v>
      </c>
    </row>
    <row r="1261" spans="1:5" x14ac:dyDescent="0.3">
      <c r="A1261" t="s">
        <v>1555</v>
      </c>
      <c r="B1261">
        <v>75547.070000000007</v>
      </c>
      <c r="C1261">
        <v>13</v>
      </c>
      <c r="D1261">
        <v>1</v>
      </c>
      <c r="E1261" t="s">
        <v>1414</v>
      </c>
    </row>
    <row r="1262" spans="1:5" x14ac:dyDescent="0.3">
      <c r="A1262" t="s">
        <v>726</v>
      </c>
      <c r="B1262">
        <v>46065.61</v>
      </c>
      <c r="C1262">
        <v>20</v>
      </c>
      <c r="D1262">
        <v>1</v>
      </c>
      <c r="E1262">
        <v>0.93969800000000003</v>
      </c>
    </row>
    <row r="1263" spans="1:5" x14ac:dyDescent="0.3">
      <c r="A1263" t="s">
        <v>1173</v>
      </c>
      <c r="B1263">
        <v>51911.87</v>
      </c>
      <c r="C1263">
        <v>27</v>
      </c>
      <c r="D1263">
        <v>0.99796700000000005</v>
      </c>
      <c r="E1263">
        <v>1</v>
      </c>
    </row>
    <row r="1264" spans="1:5" x14ac:dyDescent="0.3">
      <c r="A1264" t="s">
        <v>787</v>
      </c>
      <c r="B1264">
        <v>-127290.35</v>
      </c>
      <c r="C1264">
        <v>57</v>
      </c>
      <c r="D1264">
        <v>0.98078500000000002</v>
      </c>
      <c r="E1264">
        <v>0.42699399999999998</v>
      </c>
    </row>
    <row r="1265" spans="1:5" x14ac:dyDescent="0.3">
      <c r="A1265" t="s">
        <v>1556</v>
      </c>
      <c r="B1265">
        <v>-23927.200000000001</v>
      </c>
      <c r="C1265">
        <v>15</v>
      </c>
      <c r="D1265">
        <v>0.97994099999999995</v>
      </c>
      <c r="E1265">
        <v>0</v>
      </c>
    </row>
    <row r="1266" spans="1:5" x14ac:dyDescent="0.3">
      <c r="A1266" t="s">
        <v>355</v>
      </c>
      <c r="B1266">
        <v>-32250.04</v>
      </c>
      <c r="C1266">
        <v>87</v>
      </c>
      <c r="D1266">
        <v>0.98036500000000004</v>
      </c>
      <c r="E1266">
        <v>0.54523999999999995</v>
      </c>
    </row>
    <row r="1267" spans="1:5" x14ac:dyDescent="0.3">
      <c r="A1267" t="s">
        <v>495</v>
      </c>
      <c r="B1267">
        <v>-45388.2</v>
      </c>
      <c r="C1267">
        <v>20</v>
      </c>
      <c r="D1267">
        <v>0.94850000000000001</v>
      </c>
      <c r="E1267">
        <v>0.30768299999999998</v>
      </c>
    </row>
    <row r="1268" spans="1:5" x14ac:dyDescent="0.3">
      <c r="A1268" t="s">
        <v>951</v>
      </c>
      <c r="B1268">
        <v>88483.53</v>
      </c>
      <c r="C1268">
        <v>18</v>
      </c>
      <c r="D1268">
        <v>0.99731999999999998</v>
      </c>
      <c r="E1268">
        <v>1</v>
      </c>
    </row>
    <row r="1269" spans="1:5" x14ac:dyDescent="0.3">
      <c r="A1269" t="s">
        <v>1790</v>
      </c>
      <c r="B1269">
        <v>-31754.78</v>
      </c>
      <c r="C1269">
        <v>16</v>
      </c>
      <c r="D1269">
        <v>0.97894800000000004</v>
      </c>
      <c r="E1269">
        <v>0.29060000000000002</v>
      </c>
    </row>
    <row r="1270" spans="1:5" x14ac:dyDescent="0.3">
      <c r="A1270" t="s">
        <v>1174</v>
      </c>
      <c r="B1270">
        <v>48069.86</v>
      </c>
      <c r="C1270">
        <v>16</v>
      </c>
      <c r="D1270">
        <v>0.99907699999999999</v>
      </c>
      <c r="E1270">
        <v>0.37290099999999998</v>
      </c>
    </row>
    <row r="1271" spans="1:5" x14ac:dyDescent="0.3">
      <c r="A1271" t="s">
        <v>1175</v>
      </c>
      <c r="B1271">
        <v>-15017.7</v>
      </c>
      <c r="C1271">
        <v>15</v>
      </c>
      <c r="D1271">
        <v>0.991587</v>
      </c>
      <c r="E1271">
        <v>0.39478099999999999</v>
      </c>
    </row>
    <row r="1272" spans="1:5" x14ac:dyDescent="0.3">
      <c r="A1272" t="s">
        <v>1557</v>
      </c>
      <c r="B1272">
        <v>42155.66</v>
      </c>
      <c r="C1272">
        <v>14</v>
      </c>
      <c r="D1272">
        <v>0.98863400000000001</v>
      </c>
      <c r="E1272">
        <v>0.43375399999999997</v>
      </c>
    </row>
    <row r="1273" spans="1:5" x14ac:dyDescent="0.3">
      <c r="A1273" t="s">
        <v>1101</v>
      </c>
      <c r="B1273">
        <v>-68272.95</v>
      </c>
      <c r="C1273">
        <v>15</v>
      </c>
      <c r="D1273">
        <v>0.99667700000000004</v>
      </c>
      <c r="E1273">
        <v>0.26861499999999999</v>
      </c>
    </row>
    <row r="1274" spans="1:5" x14ac:dyDescent="0.3">
      <c r="A1274" t="s">
        <v>356</v>
      </c>
      <c r="B1274">
        <v>-4938.4799999999996</v>
      </c>
      <c r="C1274">
        <v>62</v>
      </c>
      <c r="D1274">
        <v>0.95740899999999995</v>
      </c>
      <c r="E1274">
        <v>0.84984000000000004</v>
      </c>
    </row>
    <row r="1275" spans="1:5" x14ac:dyDescent="0.3">
      <c r="A1275" t="s">
        <v>1791</v>
      </c>
      <c r="B1275">
        <v>-9363.7099999999991</v>
      </c>
      <c r="C1275">
        <v>12</v>
      </c>
      <c r="D1275">
        <v>1</v>
      </c>
      <c r="E1275" t="s">
        <v>1414</v>
      </c>
    </row>
    <row r="1276" spans="1:5" x14ac:dyDescent="0.3">
      <c r="A1276" t="s">
        <v>1792</v>
      </c>
      <c r="B1276">
        <v>-26943.599999999999</v>
      </c>
      <c r="C1276">
        <v>40</v>
      </c>
      <c r="D1276">
        <v>1</v>
      </c>
      <c r="E1276" t="s">
        <v>1414</v>
      </c>
    </row>
    <row r="1277" spans="1:5" x14ac:dyDescent="0.3">
      <c r="A1277" t="s">
        <v>122</v>
      </c>
      <c r="B1277">
        <v>42655.48</v>
      </c>
      <c r="C1277">
        <v>21</v>
      </c>
      <c r="D1277">
        <v>0.98787599999999998</v>
      </c>
      <c r="E1277">
        <v>0.97204199999999996</v>
      </c>
    </row>
    <row r="1278" spans="1:5" x14ac:dyDescent="0.3">
      <c r="A1278" t="s">
        <v>496</v>
      </c>
      <c r="B1278">
        <v>-214573</v>
      </c>
      <c r="C1278">
        <v>4</v>
      </c>
      <c r="D1278">
        <v>0.99119500000000005</v>
      </c>
      <c r="E1278">
        <v>0</v>
      </c>
    </row>
    <row r="1279" spans="1:5" x14ac:dyDescent="0.3">
      <c r="A1279" t="s">
        <v>59</v>
      </c>
      <c r="B1279">
        <v>-105051.01</v>
      </c>
      <c r="C1279">
        <v>0</v>
      </c>
      <c r="D1279">
        <v>0.93036700000000006</v>
      </c>
      <c r="E1279">
        <v>6.1067000000000003E-2</v>
      </c>
    </row>
    <row r="1280" spans="1:5" x14ac:dyDescent="0.3">
      <c r="A1280" t="s">
        <v>266</v>
      </c>
      <c r="B1280">
        <v>-89351.25</v>
      </c>
      <c r="C1280">
        <v>25</v>
      </c>
      <c r="D1280">
        <v>0.99865599999999999</v>
      </c>
      <c r="E1280">
        <v>0.80690600000000001</v>
      </c>
    </row>
    <row r="1281" spans="1:5" x14ac:dyDescent="0.3">
      <c r="A1281" t="s">
        <v>1558</v>
      </c>
      <c r="B1281">
        <v>-96850.89</v>
      </c>
      <c r="C1281">
        <v>10</v>
      </c>
      <c r="D1281">
        <v>0.97299599999999997</v>
      </c>
      <c r="E1281">
        <v>0.101838</v>
      </c>
    </row>
    <row r="1282" spans="1:5" x14ac:dyDescent="0.3">
      <c r="A1282" t="s">
        <v>1793</v>
      </c>
      <c r="B1282">
        <v>44077.61</v>
      </c>
      <c r="C1282">
        <v>16</v>
      </c>
      <c r="D1282">
        <v>0.99508300000000005</v>
      </c>
      <c r="E1282">
        <v>1</v>
      </c>
    </row>
    <row r="1283" spans="1:5" x14ac:dyDescent="0.3">
      <c r="A1283" t="s">
        <v>1794</v>
      </c>
      <c r="B1283">
        <v>11798.25</v>
      </c>
      <c r="C1283">
        <v>30</v>
      </c>
      <c r="D1283">
        <v>1</v>
      </c>
      <c r="E1283" t="s">
        <v>1414</v>
      </c>
    </row>
    <row r="1284" spans="1:5" x14ac:dyDescent="0.3">
      <c r="A1284" t="s">
        <v>2135</v>
      </c>
      <c r="B1284">
        <v>0</v>
      </c>
      <c r="C1284">
        <v>0</v>
      </c>
      <c r="D1284" t="s">
        <v>1414</v>
      </c>
      <c r="E1284" t="s">
        <v>1414</v>
      </c>
    </row>
    <row r="1285" spans="1:5" x14ac:dyDescent="0.3">
      <c r="A1285" t="s">
        <v>1559</v>
      </c>
      <c r="B1285">
        <v>17405.29</v>
      </c>
      <c r="C1285">
        <v>53</v>
      </c>
      <c r="D1285">
        <v>0.99075999999999997</v>
      </c>
      <c r="E1285">
        <v>0.81855100000000003</v>
      </c>
    </row>
    <row r="1286" spans="1:5" x14ac:dyDescent="0.3">
      <c r="A1286" t="s">
        <v>1795</v>
      </c>
      <c r="B1286">
        <v>102296.37</v>
      </c>
      <c r="C1286">
        <v>168</v>
      </c>
      <c r="D1286">
        <v>0.98813700000000004</v>
      </c>
      <c r="E1286">
        <v>0.82417899999999999</v>
      </c>
    </row>
    <row r="1287" spans="1:5" x14ac:dyDescent="0.3">
      <c r="A1287" t="s">
        <v>123</v>
      </c>
      <c r="B1287">
        <v>-37608.199999999997</v>
      </c>
      <c r="C1287">
        <v>53</v>
      </c>
      <c r="D1287">
        <v>0.94400399999999995</v>
      </c>
      <c r="E1287">
        <v>0.42958000000000002</v>
      </c>
    </row>
    <row r="1288" spans="1:5" x14ac:dyDescent="0.3">
      <c r="A1288" t="s">
        <v>1560</v>
      </c>
      <c r="B1288">
        <v>33626.910000000003</v>
      </c>
      <c r="C1288">
        <v>22</v>
      </c>
      <c r="D1288">
        <v>0.98917699999999997</v>
      </c>
      <c r="E1288">
        <v>0.80934399999999995</v>
      </c>
    </row>
    <row r="1289" spans="1:5" x14ac:dyDescent="0.3">
      <c r="A1289" t="s">
        <v>582</v>
      </c>
      <c r="B1289">
        <v>162258.97</v>
      </c>
      <c r="C1289">
        <v>37</v>
      </c>
      <c r="D1289">
        <v>0.99218200000000001</v>
      </c>
      <c r="E1289">
        <v>1</v>
      </c>
    </row>
    <row r="1290" spans="1:5" x14ac:dyDescent="0.3">
      <c r="A1290" t="s">
        <v>1796</v>
      </c>
      <c r="B1290">
        <v>143601.82</v>
      </c>
      <c r="C1290">
        <v>15</v>
      </c>
      <c r="D1290">
        <v>1</v>
      </c>
      <c r="E1290" t="s">
        <v>1414</v>
      </c>
    </row>
    <row r="1291" spans="1:5" x14ac:dyDescent="0.3">
      <c r="A1291" t="s">
        <v>2136</v>
      </c>
      <c r="B1291">
        <v>10721</v>
      </c>
      <c r="C1291">
        <v>9</v>
      </c>
      <c r="D1291" t="s">
        <v>1414</v>
      </c>
      <c r="E1291" t="s">
        <v>1414</v>
      </c>
    </row>
    <row r="1292" spans="1:5" x14ac:dyDescent="0.3">
      <c r="A1292" t="s">
        <v>1975</v>
      </c>
      <c r="B1292">
        <v>41058</v>
      </c>
      <c r="C1292">
        <v>11</v>
      </c>
      <c r="D1292">
        <v>1</v>
      </c>
      <c r="E1292" t="s">
        <v>1414</v>
      </c>
    </row>
    <row r="1293" spans="1:5" x14ac:dyDescent="0.3">
      <c r="A1293" t="s">
        <v>2137</v>
      </c>
      <c r="B1293">
        <v>-31182.1</v>
      </c>
      <c r="C1293">
        <v>14</v>
      </c>
      <c r="D1293">
        <v>0.98990500000000003</v>
      </c>
      <c r="E1293">
        <v>0</v>
      </c>
    </row>
    <row r="1294" spans="1:5" x14ac:dyDescent="0.3">
      <c r="A1294" t="s">
        <v>357</v>
      </c>
      <c r="B1294">
        <v>-50123.14</v>
      </c>
      <c r="C1294">
        <v>81</v>
      </c>
      <c r="D1294">
        <v>0.98146900000000004</v>
      </c>
      <c r="E1294">
        <v>0.36238900000000002</v>
      </c>
    </row>
    <row r="1295" spans="1:5" x14ac:dyDescent="0.3">
      <c r="A1295" t="s">
        <v>1561</v>
      </c>
      <c r="B1295">
        <v>50131.24</v>
      </c>
      <c r="C1295">
        <v>21</v>
      </c>
      <c r="D1295">
        <v>1</v>
      </c>
      <c r="E1295">
        <v>1</v>
      </c>
    </row>
    <row r="1296" spans="1:5" x14ac:dyDescent="0.3">
      <c r="A1296" t="s">
        <v>657</v>
      </c>
      <c r="B1296">
        <v>-35788.76</v>
      </c>
      <c r="C1296">
        <v>42</v>
      </c>
      <c r="D1296">
        <v>0.92472900000000002</v>
      </c>
      <c r="E1296">
        <v>0.34028399999999998</v>
      </c>
    </row>
    <row r="1297" spans="1:5" x14ac:dyDescent="0.3">
      <c r="A1297" t="s">
        <v>583</v>
      </c>
      <c r="B1297">
        <v>162225</v>
      </c>
      <c r="C1297">
        <v>22</v>
      </c>
      <c r="D1297">
        <v>0.99367099999999997</v>
      </c>
      <c r="E1297">
        <v>1</v>
      </c>
    </row>
    <row r="1298" spans="1:5" x14ac:dyDescent="0.3">
      <c r="A1298" t="s">
        <v>1562</v>
      </c>
      <c r="B1298">
        <v>33817.14</v>
      </c>
      <c r="C1298">
        <v>17</v>
      </c>
      <c r="D1298">
        <v>0.99767899999999998</v>
      </c>
      <c r="E1298">
        <v>0.69294900000000004</v>
      </c>
    </row>
    <row r="1299" spans="1:5" x14ac:dyDescent="0.3">
      <c r="A1299" t="s">
        <v>124</v>
      </c>
      <c r="B1299">
        <v>-74815.66</v>
      </c>
      <c r="C1299">
        <v>12</v>
      </c>
      <c r="D1299">
        <v>1</v>
      </c>
      <c r="E1299" t="s">
        <v>1414</v>
      </c>
    </row>
    <row r="1300" spans="1:5" x14ac:dyDescent="0.3">
      <c r="A1300" t="s">
        <v>1563</v>
      </c>
      <c r="B1300">
        <v>-33257.22</v>
      </c>
      <c r="C1300">
        <v>32</v>
      </c>
      <c r="D1300">
        <v>0.95519399999999999</v>
      </c>
      <c r="E1300">
        <v>0.55347599999999997</v>
      </c>
    </row>
    <row r="1301" spans="1:5" x14ac:dyDescent="0.3">
      <c r="A1301" t="s">
        <v>1564</v>
      </c>
      <c r="B1301">
        <v>-40206.32</v>
      </c>
      <c r="C1301">
        <v>40</v>
      </c>
      <c r="D1301">
        <v>0.98254900000000001</v>
      </c>
      <c r="E1301">
        <v>0.164184</v>
      </c>
    </row>
    <row r="1302" spans="1:5" x14ac:dyDescent="0.3">
      <c r="A1302" t="s">
        <v>1976</v>
      </c>
      <c r="B1302">
        <v>23420.81</v>
      </c>
      <c r="C1302">
        <v>8</v>
      </c>
      <c r="D1302">
        <v>1</v>
      </c>
      <c r="E1302">
        <v>0</v>
      </c>
    </row>
    <row r="1303" spans="1:5" x14ac:dyDescent="0.3">
      <c r="A1303" t="s">
        <v>2138</v>
      </c>
      <c r="B1303">
        <v>164421</v>
      </c>
      <c r="C1303">
        <v>16</v>
      </c>
      <c r="D1303" t="s">
        <v>1414</v>
      </c>
      <c r="E1303" t="s">
        <v>1414</v>
      </c>
    </row>
    <row r="1304" spans="1:5" x14ac:dyDescent="0.3">
      <c r="A1304" t="s">
        <v>584</v>
      </c>
      <c r="B1304">
        <v>232687.11</v>
      </c>
      <c r="C1304">
        <v>17</v>
      </c>
      <c r="D1304">
        <v>0.99352200000000002</v>
      </c>
      <c r="E1304">
        <v>0.95851500000000001</v>
      </c>
    </row>
    <row r="1305" spans="1:5" x14ac:dyDescent="0.3">
      <c r="A1305" t="s">
        <v>1797</v>
      </c>
      <c r="B1305">
        <v>70631</v>
      </c>
      <c r="C1305">
        <v>25</v>
      </c>
      <c r="D1305">
        <v>1</v>
      </c>
      <c r="E1305" t="s">
        <v>1414</v>
      </c>
    </row>
    <row r="1306" spans="1:5" x14ac:dyDescent="0.3">
      <c r="A1306" t="s">
        <v>497</v>
      </c>
      <c r="B1306">
        <v>-12159.11</v>
      </c>
      <c r="C1306">
        <v>11</v>
      </c>
      <c r="D1306">
        <v>0.93269999999999997</v>
      </c>
      <c r="E1306">
        <v>0.25474200000000002</v>
      </c>
    </row>
    <row r="1307" spans="1:5" x14ac:dyDescent="0.3">
      <c r="A1307" t="s">
        <v>358</v>
      </c>
      <c r="B1307">
        <v>-10764.57</v>
      </c>
      <c r="C1307">
        <v>52</v>
      </c>
      <c r="D1307">
        <v>0.85958299999999999</v>
      </c>
      <c r="E1307">
        <v>0.31080099999999999</v>
      </c>
    </row>
    <row r="1308" spans="1:5" x14ac:dyDescent="0.3">
      <c r="A1308" t="s">
        <v>1798</v>
      </c>
      <c r="B1308">
        <v>50963.71</v>
      </c>
      <c r="C1308">
        <v>20</v>
      </c>
      <c r="D1308">
        <v>1</v>
      </c>
      <c r="E1308" t="s">
        <v>1414</v>
      </c>
    </row>
    <row r="1309" spans="1:5" x14ac:dyDescent="0.3">
      <c r="A1309" t="s">
        <v>2139</v>
      </c>
      <c r="B1309">
        <v>71500</v>
      </c>
      <c r="C1309">
        <v>6</v>
      </c>
      <c r="D1309" t="s">
        <v>1414</v>
      </c>
      <c r="E1309" t="s">
        <v>1414</v>
      </c>
    </row>
    <row r="1310" spans="1:5" x14ac:dyDescent="0.3">
      <c r="A1310" t="s">
        <v>60</v>
      </c>
      <c r="B1310">
        <v>3906.5300000000302</v>
      </c>
      <c r="C1310">
        <v>9</v>
      </c>
      <c r="D1310">
        <v>0.98411999999999999</v>
      </c>
      <c r="E1310">
        <v>0</v>
      </c>
    </row>
    <row r="1311" spans="1:5" x14ac:dyDescent="0.3">
      <c r="A1311" t="s">
        <v>869</v>
      </c>
      <c r="B1311">
        <v>29517.15</v>
      </c>
      <c r="C1311">
        <v>20</v>
      </c>
      <c r="D1311">
        <v>1</v>
      </c>
      <c r="E1311">
        <v>1</v>
      </c>
    </row>
    <row r="1312" spans="1:5" x14ac:dyDescent="0.3">
      <c r="A1312" t="s">
        <v>658</v>
      </c>
      <c r="B1312">
        <v>8700.43</v>
      </c>
      <c r="C1312">
        <v>25</v>
      </c>
      <c r="D1312">
        <v>0.98780199999999996</v>
      </c>
      <c r="E1312">
        <v>0.84909000000000001</v>
      </c>
    </row>
    <row r="1313" spans="1:5" x14ac:dyDescent="0.3">
      <c r="A1313" t="s">
        <v>1977</v>
      </c>
      <c r="B1313">
        <v>-2575.04</v>
      </c>
      <c r="C1313">
        <v>3</v>
      </c>
      <c r="D1313">
        <v>0.98105799999999999</v>
      </c>
      <c r="E1313">
        <v>0</v>
      </c>
    </row>
    <row r="1314" spans="1:5" x14ac:dyDescent="0.3">
      <c r="A1314" t="s">
        <v>727</v>
      </c>
      <c r="B1314">
        <v>-55431.6</v>
      </c>
      <c r="C1314">
        <v>20</v>
      </c>
      <c r="D1314">
        <v>1</v>
      </c>
      <c r="E1314" t="s">
        <v>1414</v>
      </c>
    </row>
    <row r="1315" spans="1:5" x14ac:dyDescent="0.3">
      <c r="A1315" t="s">
        <v>1102</v>
      </c>
      <c r="B1315">
        <v>-115974.11</v>
      </c>
      <c r="C1315">
        <v>0</v>
      </c>
      <c r="D1315">
        <v>0.98067099999999996</v>
      </c>
      <c r="E1315">
        <v>1</v>
      </c>
    </row>
    <row r="1316" spans="1:5" x14ac:dyDescent="0.3">
      <c r="A1316" t="s">
        <v>1799</v>
      </c>
      <c r="B1316">
        <v>100419.03</v>
      </c>
      <c r="C1316">
        <v>9</v>
      </c>
      <c r="D1316">
        <v>1</v>
      </c>
      <c r="E1316">
        <v>1</v>
      </c>
    </row>
    <row r="1317" spans="1:5" x14ac:dyDescent="0.3">
      <c r="A1317" t="s">
        <v>1565</v>
      </c>
      <c r="B1317">
        <v>27750.37</v>
      </c>
      <c r="C1317">
        <v>40</v>
      </c>
      <c r="D1317">
        <v>0.98739200000000005</v>
      </c>
      <c r="E1317">
        <v>0.292628</v>
      </c>
    </row>
    <row r="1318" spans="1:5" x14ac:dyDescent="0.3">
      <c r="A1318" t="s">
        <v>1176</v>
      </c>
      <c r="B1318">
        <v>66237.64</v>
      </c>
      <c r="C1318">
        <v>38</v>
      </c>
      <c r="D1318">
        <v>1</v>
      </c>
      <c r="E1318">
        <v>1</v>
      </c>
    </row>
    <row r="1319" spans="1:5" x14ac:dyDescent="0.3">
      <c r="A1319" t="s">
        <v>1800</v>
      </c>
      <c r="B1319">
        <v>63955.56</v>
      </c>
      <c r="C1319">
        <v>6</v>
      </c>
      <c r="D1319">
        <v>1</v>
      </c>
      <c r="E1319" t="s">
        <v>1414</v>
      </c>
    </row>
    <row r="1320" spans="1:5" x14ac:dyDescent="0.3">
      <c r="A1320" t="s">
        <v>788</v>
      </c>
      <c r="B1320">
        <v>140323.71</v>
      </c>
      <c r="C1320">
        <v>33</v>
      </c>
      <c r="D1320">
        <v>1</v>
      </c>
      <c r="E1320">
        <v>1</v>
      </c>
    </row>
    <row r="1321" spans="1:5" x14ac:dyDescent="0.3">
      <c r="A1321" t="s">
        <v>952</v>
      </c>
      <c r="B1321">
        <v>-214.150000000001</v>
      </c>
      <c r="C1321">
        <v>20</v>
      </c>
      <c r="D1321">
        <v>1</v>
      </c>
      <c r="E1321">
        <v>1</v>
      </c>
    </row>
    <row r="1322" spans="1:5" x14ac:dyDescent="0.3">
      <c r="A1322" t="s">
        <v>1801</v>
      </c>
      <c r="B1322">
        <v>70981.45</v>
      </c>
      <c r="C1322">
        <v>12</v>
      </c>
      <c r="D1322">
        <v>1</v>
      </c>
      <c r="E1322" t="s">
        <v>1414</v>
      </c>
    </row>
    <row r="1323" spans="1:5" x14ac:dyDescent="0.3">
      <c r="A1323" t="s">
        <v>1802</v>
      </c>
      <c r="B1323">
        <v>-25732.62</v>
      </c>
      <c r="C1323">
        <v>20</v>
      </c>
      <c r="D1323">
        <v>1</v>
      </c>
      <c r="E1323" t="s">
        <v>1414</v>
      </c>
    </row>
    <row r="1324" spans="1:5" x14ac:dyDescent="0.3">
      <c r="A1324" t="s">
        <v>125</v>
      </c>
      <c r="B1324">
        <v>-69594.559999999998</v>
      </c>
      <c r="C1324">
        <v>18</v>
      </c>
      <c r="D1324">
        <v>0.97102100000000002</v>
      </c>
      <c r="E1324">
        <v>0.61029100000000003</v>
      </c>
    </row>
    <row r="1325" spans="1:5" x14ac:dyDescent="0.3">
      <c r="A1325" t="s">
        <v>1103</v>
      </c>
      <c r="B1325">
        <v>95915.87</v>
      </c>
      <c r="C1325">
        <v>24</v>
      </c>
      <c r="D1325">
        <v>0.99532699999999996</v>
      </c>
      <c r="E1325">
        <v>1</v>
      </c>
    </row>
    <row r="1326" spans="1:5" x14ac:dyDescent="0.3">
      <c r="A1326" t="s">
        <v>2140</v>
      </c>
      <c r="B1326">
        <v>108506.66</v>
      </c>
      <c r="C1326">
        <v>9</v>
      </c>
      <c r="D1326">
        <v>1</v>
      </c>
      <c r="E1326" t="s">
        <v>1414</v>
      </c>
    </row>
    <row r="1327" spans="1:5" x14ac:dyDescent="0.3">
      <c r="A1327" t="s">
        <v>2141</v>
      </c>
      <c r="B1327">
        <v>25707.02</v>
      </c>
      <c r="C1327">
        <v>44</v>
      </c>
      <c r="D1327">
        <v>0.95776499999999998</v>
      </c>
      <c r="E1327">
        <v>0.461538</v>
      </c>
    </row>
    <row r="1328" spans="1:5" x14ac:dyDescent="0.3">
      <c r="A1328" t="s">
        <v>1803</v>
      </c>
      <c r="B1328">
        <v>-61994.53</v>
      </c>
      <c r="C1328">
        <v>22</v>
      </c>
      <c r="D1328">
        <v>0.98013600000000001</v>
      </c>
      <c r="E1328">
        <v>0.21388799999999999</v>
      </c>
    </row>
    <row r="1329" spans="1:5" x14ac:dyDescent="0.3">
      <c r="A1329" t="s">
        <v>427</v>
      </c>
      <c r="B1329">
        <v>46363.97</v>
      </c>
      <c r="C1329">
        <v>18</v>
      </c>
      <c r="D1329">
        <v>0.99928600000000001</v>
      </c>
      <c r="E1329">
        <v>0.76115200000000005</v>
      </c>
    </row>
    <row r="1330" spans="1:5" x14ac:dyDescent="0.3">
      <c r="A1330" t="s">
        <v>201</v>
      </c>
      <c r="B1330">
        <v>149758.93</v>
      </c>
      <c r="C1330">
        <v>18</v>
      </c>
      <c r="D1330">
        <v>1</v>
      </c>
      <c r="E1330" t="s">
        <v>1414</v>
      </c>
    </row>
    <row r="1331" spans="1:5" x14ac:dyDescent="0.3">
      <c r="A1331" t="s">
        <v>2142</v>
      </c>
      <c r="B1331">
        <v>6586.19</v>
      </c>
      <c r="C1331">
        <v>5</v>
      </c>
      <c r="D1331">
        <v>1</v>
      </c>
      <c r="E1331" t="s">
        <v>1414</v>
      </c>
    </row>
    <row r="1332" spans="1:5" x14ac:dyDescent="0.3">
      <c r="A1332" t="s">
        <v>659</v>
      </c>
      <c r="B1332">
        <v>-231750.68</v>
      </c>
      <c r="C1332">
        <v>24</v>
      </c>
      <c r="D1332">
        <v>0.97009000000000001</v>
      </c>
      <c r="E1332">
        <v>0.61866600000000005</v>
      </c>
    </row>
    <row r="1333" spans="1:5" x14ac:dyDescent="0.3">
      <c r="A1333" t="s">
        <v>1804</v>
      </c>
      <c r="B1333">
        <v>-1283.07</v>
      </c>
      <c r="C1333">
        <v>10</v>
      </c>
      <c r="D1333">
        <v>0.87172899999999998</v>
      </c>
      <c r="E1333" t="s">
        <v>1414</v>
      </c>
    </row>
    <row r="1334" spans="1:5" x14ac:dyDescent="0.3">
      <c r="A1334" t="s">
        <v>267</v>
      </c>
      <c r="B1334">
        <v>209788.46</v>
      </c>
      <c r="C1334">
        <v>17</v>
      </c>
      <c r="D1334">
        <v>0.99222900000000003</v>
      </c>
      <c r="E1334">
        <v>1</v>
      </c>
    </row>
    <row r="1335" spans="1:5" x14ac:dyDescent="0.3">
      <c r="A1335" t="s">
        <v>498</v>
      </c>
      <c r="B1335">
        <v>95946.84</v>
      </c>
      <c r="C1335">
        <v>18</v>
      </c>
      <c r="D1335">
        <v>1</v>
      </c>
      <c r="E1335" t="s">
        <v>1414</v>
      </c>
    </row>
    <row r="1336" spans="1:5" x14ac:dyDescent="0.3">
      <c r="A1336" t="s">
        <v>1978</v>
      </c>
      <c r="B1336">
        <v>142590.13</v>
      </c>
      <c r="C1336">
        <v>9</v>
      </c>
      <c r="D1336">
        <v>0.99920799999999999</v>
      </c>
      <c r="E1336">
        <v>1</v>
      </c>
    </row>
    <row r="1337" spans="1:5" x14ac:dyDescent="0.3">
      <c r="A1337" t="s">
        <v>660</v>
      </c>
      <c r="B1337">
        <v>63831.3100000001</v>
      </c>
      <c r="C1337">
        <v>14</v>
      </c>
      <c r="D1337">
        <v>0.99899300000000002</v>
      </c>
      <c r="E1337">
        <v>1</v>
      </c>
    </row>
    <row r="1338" spans="1:5" x14ac:dyDescent="0.3">
      <c r="A1338" t="s">
        <v>661</v>
      </c>
      <c r="B1338">
        <v>-146421.10999999999</v>
      </c>
      <c r="C1338">
        <v>0</v>
      </c>
      <c r="D1338">
        <v>0.98380199999999995</v>
      </c>
      <c r="E1338">
        <v>0.25738800000000001</v>
      </c>
    </row>
    <row r="1339" spans="1:5" x14ac:dyDescent="0.3">
      <c r="A1339" t="s">
        <v>428</v>
      </c>
      <c r="B1339">
        <v>50591.97</v>
      </c>
      <c r="C1339">
        <v>17</v>
      </c>
      <c r="D1339">
        <v>1</v>
      </c>
      <c r="E1339">
        <v>1</v>
      </c>
    </row>
    <row r="1340" spans="1:5" x14ac:dyDescent="0.3">
      <c r="A1340" t="s">
        <v>1805</v>
      </c>
      <c r="B1340">
        <v>-70672.62</v>
      </c>
      <c r="C1340">
        <v>12</v>
      </c>
      <c r="D1340">
        <v>0.99216800000000005</v>
      </c>
      <c r="E1340">
        <v>0.37958999999999998</v>
      </c>
    </row>
    <row r="1341" spans="1:5" x14ac:dyDescent="0.3">
      <c r="A1341" t="s">
        <v>429</v>
      </c>
      <c r="B1341">
        <v>-3301.08</v>
      </c>
      <c r="C1341">
        <v>26</v>
      </c>
      <c r="D1341">
        <v>1</v>
      </c>
      <c r="E1341">
        <v>0.30363099999999998</v>
      </c>
    </row>
    <row r="1342" spans="1:5" x14ac:dyDescent="0.3">
      <c r="A1342" t="s">
        <v>359</v>
      </c>
      <c r="B1342">
        <v>-5983.6</v>
      </c>
      <c r="C1342">
        <v>15</v>
      </c>
      <c r="D1342">
        <v>0.99759500000000001</v>
      </c>
      <c r="E1342">
        <v>0</v>
      </c>
    </row>
    <row r="1343" spans="1:5" x14ac:dyDescent="0.3">
      <c r="A1343" t="s">
        <v>2143</v>
      </c>
      <c r="B1343">
        <v>-19867.07</v>
      </c>
      <c r="C1343">
        <v>31</v>
      </c>
      <c r="D1343">
        <v>0.98814900000000006</v>
      </c>
      <c r="E1343">
        <v>0.86353899999999995</v>
      </c>
    </row>
    <row r="1344" spans="1:5" x14ac:dyDescent="0.3">
      <c r="A1344" t="s">
        <v>430</v>
      </c>
      <c r="B1344">
        <v>142481.96</v>
      </c>
      <c r="C1344">
        <v>14</v>
      </c>
      <c r="D1344">
        <v>1</v>
      </c>
      <c r="E1344">
        <v>1</v>
      </c>
    </row>
    <row r="1345" spans="1:5" x14ac:dyDescent="0.3">
      <c r="A1345" t="s">
        <v>2144</v>
      </c>
      <c r="B1345">
        <v>50300</v>
      </c>
      <c r="C1345">
        <v>44</v>
      </c>
      <c r="D1345" t="s">
        <v>1414</v>
      </c>
      <c r="E1345" t="s">
        <v>1414</v>
      </c>
    </row>
    <row r="1346" spans="1:5" x14ac:dyDescent="0.3">
      <c r="A1346" t="s">
        <v>431</v>
      </c>
      <c r="B1346">
        <v>49270.35</v>
      </c>
      <c r="C1346">
        <v>25</v>
      </c>
      <c r="D1346">
        <v>0.99424299999999999</v>
      </c>
      <c r="E1346">
        <v>0.85217799999999999</v>
      </c>
    </row>
    <row r="1347" spans="1:5" x14ac:dyDescent="0.3">
      <c r="A1347" t="s">
        <v>202</v>
      </c>
      <c r="B1347">
        <v>166615.38</v>
      </c>
      <c r="C1347">
        <v>20</v>
      </c>
      <c r="D1347">
        <v>0.99895100000000003</v>
      </c>
      <c r="E1347">
        <v>1</v>
      </c>
    </row>
    <row r="1348" spans="1:5" x14ac:dyDescent="0.3">
      <c r="A1348" t="s">
        <v>203</v>
      </c>
      <c r="B1348">
        <v>-12261.4</v>
      </c>
      <c r="C1348">
        <v>21</v>
      </c>
      <c r="D1348">
        <v>0.97990200000000005</v>
      </c>
      <c r="E1348">
        <v>0.23267299999999999</v>
      </c>
    </row>
    <row r="1349" spans="1:5" x14ac:dyDescent="0.3">
      <c r="A1349" t="s">
        <v>1018</v>
      </c>
      <c r="B1349">
        <v>39796.14</v>
      </c>
      <c r="C1349">
        <v>26</v>
      </c>
      <c r="D1349">
        <v>1</v>
      </c>
      <c r="E1349" t="s">
        <v>1414</v>
      </c>
    </row>
    <row r="1350" spans="1:5" x14ac:dyDescent="0.3">
      <c r="A1350" t="s">
        <v>870</v>
      </c>
      <c r="B1350">
        <v>-75055.72</v>
      </c>
      <c r="C1350">
        <v>12</v>
      </c>
      <c r="D1350">
        <v>0.94261799999999996</v>
      </c>
      <c r="E1350" t="s">
        <v>1414</v>
      </c>
    </row>
    <row r="1351" spans="1:5" x14ac:dyDescent="0.3">
      <c r="A1351" t="s">
        <v>1566</v>
      </c>
      <c r="B1351">
        <v>23133.84</v>
      </c>
      <c r="C1351">
        <v>63</v>
      </c>
      <c r="D1351">
        <v>0.99187000000000003</v>
      </c>
      <c r="E1351">
        <v>0.41565299999999999</v>
      </c>
    </row>
    <row r="1352" spans="1:5" x14ac:dyDescent="0.3">
      <c r="A1352" t="s">
        <v>2145</v>
      </c>
      <c r="B1352">
        <v>78696</v>
      </c>
      <c r="C1352">
        <v>9</v>
      </c>
      <c r="D1352" t="s">
        <v>1414</v>
      </c>
      <c r="E1352" t="s">
        <v>1414</v>
      </c>
    </row>
    <row r="1353" spans="1:5" x14ac:dyDescent="0.3">
      <c r="A1353" t="s">
        <v>268</v>
      </c>
      <c r="B1353">
        <v>-34528.660000000098</v>
      </c>
      <c r="C1353">
        <v>17</v>
      </c>
      <c r="D1353">
        <v>0.99746800000000002</v>
      </c>
      <c r="E1353">
        <v>1</v>
      </c>
    </row>
    <row r="1354" spans="1:5" x14ac:dyDescent="0.3">
      <c r="A1354" t="s">
        <v>2146</v>
      </c>
      <c r="B1354">
        <v>-19332.990000000002</v>
      </c>
      <c r="C1354">
        <v>0</v>
      </c>
      <c r="D1354">
        <v>1</v>
      </c>
      <c r="E1354" t="s">
        <v>1414</v>
      </c>
    </row>
    <row r="1355" spans="1:5" x14ac:dyDescent="0.3">
      <c r="A1355" t="s">
        <v>1806</v>
      </c>
      <c r="B1355">
        <v>-34902.589999999997</v>
      </c>
      <c r="C1355">
        <v>7</v>
      </c>
      <c r="D1355">
        <v>0.99375400000000003</v>
      </c>
      <c r="E1355">
        <v>0.81403400000000004</v>
      </c>
    </row>
    <row r="1356" spans="1:5" x14ac:dyDescent="0.3">
      <c r="A1356" t="s">
        <v>2147</v>
      </c>
      <c r="B1356">
        <v>15070</v>
      </c>
      <c r="C1356">
        <v>4</v>
      </c>
      <c r="D1356" t="s">
        <v>1414</v>
      </c>
      <c r="E1356" t="s">
        <v>1414</v>
      </c>
    </row>
    <row r="1357" spans="1:5" x14ac:dyDescent="0.3">
      <c r="A1357" t="s">
        <v>1567</v>
      </c>
      <c r="B1357">
        <v>141385.89000000001</v>
      </c>
      <c r="C1357">
        <v>20</v>
      </c>
      <c r="D1357">
        <v>0.99681399999999998</v>
      </c>
      <c r="E1357">
        <v>0.806593</v>
      </c>
    </row>
    <row r="1358" spans="1:5" x14ac:dyDescent="0.3">
      <c r="A1358" t="s">
        <v>1019</v>
      </c>
      <c r="B1358">
        <v>100239.8</v>
      </c>
      <c r="C1358">
        <v>137</v>
      </c>
      <c r="D1358">
        <v>0.980765</v>
      </c>
      <c r="E1358">
        <v>0.81410499999999997</v>
      </c>
    </row>
    <row r="1359" spans="1:5" x14ac:dyDescent="0.3">
      <c r="A1359" t="s">
        <v>1807</v>
      </c>
      <c r="B1359">
        <v>-8446.43</v>
      </c>
      <c r="C1359">
        <v>50</v>
      </c>
      <c r="D1359">
        <v>0.98772599999999999</v>
      </c>
      <c r="E1359">
        <v>0.71404900000000004</v>
      </c>
    </row>
    <row r="1360" spans="1:5" x14ac:dyDescent="0.3">
      <c r="A1360" t="s">
        <v>2148</v>
      </c>
      <c r="B1360">
        <v>18781.14</v>
      </c>
      <c r="C1360">
        <v>30</v>
      </c>
      <c r="D1360">
        <v>1</v>
      </c>
      <c r="E1360" t="s">
        <v>1414</v>
      </c>
    </row>
    <row r="1361" spans="1:5" x14ac:dyDescent="0.3">
      <c r="A1361" t="s">
        <v>499</v>
      </c>
      <c r="B1361">
        <v>-331470.93</v>
      </c>
      <c r="C1361">
        <v>13</v>
      </c>
      <c r="D1361">
        <v>0.99938899999999997</v>
      </c>
      <c r="E1361">
        <v>0.97497599999999995</v>
      </c>
    </row>
    <row r="1362" spans="1:5" x14ac:dyDescent="0.3">
      <c r="A1362" t="s">
        <v>789</v>
      </c>
      <c r="B1362">
        <v>-189999.84</v>
      </c>
      <c r="C1362">
        <v>0</v>
      </c>
      <c r="D1362">
        <v>0.99136199999999997</v>
      </c>
      <c r="E1362">
        <v>9.1708999999999999E-2</v>
      </c>
    </row>
    <row r="1363" spans="1:5" x14ac:dyDescent="0.3">
      <c r="A1363" t="s">
        <v>432</v>
      </c>
      <c r="B1363">
        <v>-1540.57</v>
      </c>
      <c r="C1363">
        <v>17</v>
      </c>
      <c r="D1363">
        <v>0.96418599999999999</v>
      </c>
      <c r="E1363">
        <v>0.20121</v>
      </c>
    </row>
    <row r="1364" spans="1:5" x14ac:dyDescent="0.3">
      <c r="A1364" t="s">
        <v>1808</v>
      </c>
      <c r="B1364">
        <v>53823.95</v>
      </c>
      <c r="C1364">
        <v>17</v>
      </c>
      <c r="D1364">
        <v>0.95088600000000001</v>
      </c>
      <c r="E1364" t="s">
        <v>1414</v>
      </c>
    </row>
    <row r="1365" spans="1:5" x14ac:dyDescent="0.3">
      <c r="A1365" t="s">
        <v>1020</v>
      </c>
      <c r="B1365">
        <v>-206659.93</v>
      </c>
      <c r="C1365">
        <v>11</v>
      </c>
      <c r="D1365">
        <v>0.99400500000000003</v>
      </c>
      <c r="E1365">
        <v>0.49846600000000002</v>
      </c>
    </row>
    <row r="1366" spans="1:5" x14ac:dyDescent="0.3">
      <c r="A1366" t="s">
        <v>1104</v>
      </c>
      <c r="B1366">
        <v>10420.959999999999</v>
      </c>
      <c r="C1366">
        <v>11</v>
      </c>
      <c r="D1366">
        <v>0.99537699999999996</v>
      </c>
      <c r="E1366" t="s">
        <v>1414</v>
      </c>
    </row>
    <row r="1367" spans="1:5" x14ac:dyDescent="0.3">
      <c r="A1367" t="s">
        <v>2149</v>
      </c>
      <c r="B1367">
        <v>171848.66</v>
      </c>
      <c r="C1367">
        <v>11</v>
      </c>
      <c r="D1367">
        <v>1</v>
      </c>
      <c r="E1367" t="s">
        <v>1414</v>
      </c>
    </row>
    <row r="1368" spans="1:5" x14ac:dyDescent="0.3">
      <c r="A1368" t="s">
        <v>2150</v>
      </c>
      <c r="B1368">
        <v>11904.47</v>
      </c>
      <c r="C1368">
        <v>30</v>
      </c>
      <c r="D1368">
        <v>0.94344300000000003</v>
      </c>
      <c r="E1368">
        <v>0.32635500000000001</v>
      </c>
    </row>
    <row r="1369" spans="1:5" x14ac:dyDescent="0.3">
      <c r="A1369" t="s">
        <v>61</v>
      </c>
      <c r="B1369">
        <v>-50289.16</v>
      </c>
      <c r="C1369">
        <v>26</v>
      </c>
      <c r="D1369">
        <v>0.98667099999999996</v>
      </c>
      <c r="E1369">
        <v>0.62295</v>
      </c>
    </row>
    <row r="1370" spans="1:5" x14ac:dyDescent="0.3">
      <c r="A1370" t="s">
        <v>269</v>
      </c>
      <c r="B1370">
        <v>30666.4399999999</v>
      </c>
      <c r="C1370">
        <v>19</v>
      </c>
      <c r="D1370">
        <v>0.964391</v>
      </c>
      <c r="E1370">
        <v>0.67532599999999998</v>
      </c>
    </row>
    <row r="1371" spans="1:5" x14ac:dyDescent="0.3">
      <c r="A1371" t="s">
        <v>871</v>
      </c>
      <c r="B1371">
        <v>-111352.3</v>
      </c>
      <c r="C1371">
        <v>8</v>
      </c>
      <c r="D1371">
        <v>1</v>
      </c>
      <c r="E1371">
        <v>2.9044E-2</v>
      </c>
    </row>
    <row r="1372" spans="1:5" x14ac:dyDescent="0.3">
      <c r="A1372" t="s">
        <v>953</v>
      </c>
      <c r="B1372">
        <v>-145224.04999999999</v>
      </c>
      <c r="C1372">
        <v>7</v>
      </c>
      <c r="D1372">
        <v>1</v>
      </c>
      <c r="E1372" t="s">
        <v>1414</v>
      </c>
    </row>
    <row r="1373" spans="1:5" x14ac:dyDescent="0.3">
      <c r="A1373" t="s">
        <v>360</v>
      </c>
      <c r="B1373">
        <v>-17787.689999999999</v>
      </c>
      <c r="C1373">
        <v>13</v>
      </c>
      <c r="D1373">
        <v>0.99774300000000005</v>
      </c>
      <c r="E1373">
        <v>1</v>
      </c>
    </row>
    <row r="1374" spans="1:5" x14ac:dyDescent="0.3">
      <c r="A1374" t="s">
        <v>204</v>
      </c>
      <c r="B1374">
        <v>-183758.19</v>
      </c>
      <c r="C1374">
        <v>0</v>
      </c>
      <c r="D1374">
        <v>0.99985299999999999</v>
      </c>
      <c r="E1374">
        <v>1</v>
      </c>
    </row>
    <row r="1375" spans="1:5" x14ac:dyDescent="0.3">
      <c r="A1375" t="s">
        <v>1809</v>
      </c>
      <c r="B1375">
        <v>180289.72</v>
      </c>
      <c r="C1375">
        <v>16</v>
      </c>
      <c r="D1375">
        <v>0.99290800000000001</v>
      </c>
      <c r="E1375">
        <v>1</v>
      </c>
    </row>
    <row r="1376" spans="1:5" x14ac:dyDescent="0.3">
      <c r="A1376" t="s">
        <v>1568</v>
      </c>
      <c r="B1376">
        <v>171960.27</v>
      </c>
      <c r="C1376">
        <v>14</v>
      </c>
      <c r="D1376">
        <v>0.98590900000000004</v>
      </c>
      <c r="E1376">
        <v>0.70107799999999998</v>
      </c>
    </row>
    <row r="1377" spans="1:5" x14ac:dyDescent="0.3">
      <c r="A1377" t="s">
        <v>126</v>
      </c>
      <c r="B1377">
        <v>-124708.06</v>
      </c>
      <c r="C1377">
        <v>11</v>
      </c>
      <c r="D1377">
        <v>0.99583500000000003</v>
      </c>
      <c r="E1377">
        <v>0.20642099999999999</v>
      </c>
    </row>
    <row r="1378" spans="1:5" x14ac:dyDescent="0.3">
      <c r="A1378" t="s">
        <v>2151</v>
      </c>
      <c r="B1378">
        <v>-17652.48</v>
      </c>
      <c r="C1378">
        <v>15</v>
      </c>
      <c r="D1378">
        <v>1</v>
      </c>
      <c r="E1378" t="s">
        <v>1414</v>
      </c>
    </row>
    <row r="1379" spans="1:5" x14ac:dyDescent="0.3">
      <c r="A1379" t="s">
        <v>1569</v>
      </c>
      <c r="B1379">
        <v>-966.82</v>
      </c>
      <c r="C1379">
        <v>64</v>
      </c>
      <c r="D1379">
        <v>0.98487800000000003</v>
      </c>
      <c r="E1379">
        <v>0.468976</v>
      </c>
    </row>
    <row r="1380" spans="1:5" x14ac:dyDescent="0.3">
      <c r="A1380" t="s">
        <v>790</v>
      </c>
      <c r="B1380">
        <v>-71340.13</v>
      </c>
      <c r="C1380">
        <v>15</v>
      </c>
      <c r="D1380">
        <v>0.999332</v>
      </c>
      <c r="E1380">
        <v>0.90681900000000004</v>
      </c>
    </row>
    <row r="1381" spans="1:5" x14ac:dyDescent="0.3">
      <c r="A1381" t="s">
        <v>2152</v>
      </c>
      <c r="B1381">
        <v>0</v>
      </c>
      <c r="C1381">
        <v>0</v>
      </c>
      <c r="D1381" t="s">
        <v>1414</v>
      </c>
      <c r="E1381" t="s">
        <v>1414</v>
      </c>
    </row>
    <row r="1382" spans="1:5" x14ac:dyDescent="0.3">
      <c r="A1382" t="s">
        <v>1105</v>
      </c>
      <c r="B1382">
        <v>-51741.82</v>
      </c>
      <c r="C1382">
        <v>45</v>
      </c>
      <c r="D1382">
        <v>0.99086200000000002</v>
      </c>
      <c r="E1382">
        <v>0.74523499999999998</v>
      </c>
    </row>
    <row r="1383" spans="1:5" x14ac:dyDescent="0.3">
      <c r="A1383" t="s">
        <v>1810</v>
      </c>
      <c r="B1383">
        <v>62223.69</v>
      </c>
      <c r="C1383">
        <v>90</v>
      </c>
      <c r="D1383">
        <v>0.948685</v>
      </c>
      <c r="E1383">
        <v>0.80473899999999998</v>
      </c>
    </row>
    <row r="1384" spans="1:5" x14ac:dyDescent="0.3">
      <c r="A1384" t="s">
        <v>205</v>
      </c>
      <c r="B1384">
        <v>127485.86</v>
      </c>
      <c r="C1384">
        <v>19</v>
      </c>
      <c r="D1384">
        <v>1</v>
      </c>
      <c r="E1384">
        <v>0.97417399999999998</v>
      </c>
    </row>
    <row r="1385" spans="1:5" x14ac:dyDescent="0.3">
      <c r="A1385" t="s">
        <v>270</v>
      </c>
      <c r="B1385">
        <v>73993.72</v>
      </c>
      <c r="C1385">
        <v>25</v>
      </c>
      <c r="D1385">
        <v>0.99582800000000005</v>
      </c>
      <c r="E1385">
        <v>1</v>
      </c>
    </row>
    <row r="1386" spans="1:5" x14ac:dyDescent="0.3">
      <c r="A1386" t="s">
        <v>1021</v>
      </c>
      <c r="B1386">
        <v>62763.519999999997</v>
      </c>
      <c r="C1386">
        <v>29</v>
      </c>
      <c r="D1386">
        <v>0.99574799999999997</v>
      </c>
      <c r="E1386">
        <v>0.84335899999999997</v>
      </c>
    </row>
    <row r="1387" spans="1:5" x14ac:dyDescent="0.3">
      <c r="A1387" t="s">
        <v>2153</v>
      </c>
      <c r="B1387">
        <v>23763</v>
      </c>
      <c r="C1387">
        <v>8</v>
      </c>
      <c r="D1387" t="s">
        <v>1414</v>
      </c>
      <c r="E1387" t="s">
        <v>1414</v>
      </c>
    </row>
    <row r="1388" spans="1:5" x14ac:dyDescent="0.3">
      <c r="A1388" t="s">
        <v>1570</v>
      </c>
      <c r="B1388">
        <v>-27406.35</v>
      </c>
      <c r="C1388">
        <v>40</v>
      </c>
      <c r="D1388">
        <v>1</v>
      </c>
      <c r="E1388">
        <v>1</v>
      </c>
    </row>
    <row r="1389" spans="1:5" x14ac:dyDescent="0.3">
      <c r="A1389" t="s">
        <v>500</v>
      </c>
      <c r="B1389">
        <v>126614.2</v>
      </c>
      <c r="C1389">
        <v>22</v>
      </c>
      <c r="D1389">
        <v>0.99471399999999999</v>
      </c>
      <c r="E1389" t="s">
        <v>1414</v>
      </c>
    </row>
    <row r="1390" spans="1:5" x14ac:dyDescent="0.3">
      <c r="A1390" t="s">
        <v>2154</v>
      </c>
      <c r="B1390">
        <v>68336.759999999995</v>
      </c>
      <c r="C1390">
        <v>12</v>
      </c>
      <c r="D1390">
        <v>1</v>
      </c>
      <c r="E1390" t="s">
        <v>1414</v>
      </c>
    </row>
    <row r="1391" spans="1:5" x14ac:dyDescent="0.3">
      <c r="A1391" t="s">
        <v>662</v>
      </c>
      <c r="B1391">
        <v>78075.990000000005</v>
      </c>
      <c r="C1391">
        <v>144</v>
      </c>
      <c r="D1391">
        <v>0.94206699999999999</v>
      </c>
      <c r="E1391">
        <v>0.83090200000000003</v>
      </c>
    </row>
    <row r="1392" spans="1:5" x14ac:dyDescent="0.3">
      <c r="A1392" t="s">
        <v>271</v>
      </c>
      <c r="B1392">
        <v>58941.72</v>
      </c>
      <c r="C1392">
        <v>15</v>
      </c>
      <c r="D1392">
        <v>0.99777300000000002</v>
      </c>
      <c r="E1392">
        <v>1</v>
      </c>
    </row>
    <row r="1393" spans="1:5" x14ac:dyDescent="0.3">
      <c r="A1393" t="s">
        <v>206</v>
      </c>
      <c r="B1393">
        <v>-118845.1</v>
      </c>
      <c r="C1393">
        <v>0</v>
      </c>
      <c r="D1393">
        <v>0.86183799999999999</v>
      </c>
      <c r="E1393" t="s">
        <v>1414</v>
      </c>
    </row>
    <row r="1394" spans="1:5" x14ac:dyDescent="0.3">
      <c r="A1394" t="s">
        <v>954</v>
      </c>
      <c r="B1394">
        <v>116147.73</v>
      </c>
      <c r="C1394">
        <v>21</v>
      </c>
      <c r="D1394">
        <v>0.99405500000000002</v>
      </c>
      <c r="E1394">
        <v>0.78421700000000005</v>
      </c>
    </row>
    <row r="1395" spans="1:5" x14ac:dyDescent="0.3">
      <c r="A1395" t="s">
        <v>872</v>
      </c>
      <c r="B1395">
        <v>-112479.82</v>
      </c>
      <c r="C1395">
        <v>0</v>
      </c>
      <c r="D1395">
        <v>0.91812300000000002</v>
      </c>
      <c r="E1395">
        <v>0.76144999999999996</v>
      </c>
    </row>
    <row r="1396" spans="1:5" x14ac:dyDescent="0.3">
      <c r="A1396" t="s">
        <v>1979</v>
      </c>
      <c r="B1396">
        <v>20835.650000000001</v>
      </c>
      <c r="C1396">
        <v>17</v>
      </c>
      <c r="D1396">
        <v>1</v>
      </c>
      <c r="E1396" t="s">
        <v>1414</v>
      </c>
    </row>
    <row r="1397" spans="1:5" x14ac:dyDescent="0.3">
      <c r="A1397" t="s">
        <v>873</v>
      </c>
      <c r="B1397">
        <v>24444.15</v>
      </c>
      <c r="C1397">
        <v>23</v>
      </c>
      <c r="D1397">
        <v>0.98333400000000004</v>
      </c>
      <c r="E1397">
        <v>0.97543400000000002</v>
      </c>
    </row>
    <row r="1398" spans="1:5" x14ac:dyDescent="0.3">
      <c r="A1398" t="s">
        <v>2155</v>
      </c>
      <c r="B1398">
        <v>61792.19</v>
      </c>
      <c r="C1398">
        <v>5</v>
      </c>
      <c r="D1398">
        <v>1</v>
      </c>
      <c r="E1398" t="s">
        <v>1414</v>
      </c>
    </row>
    <row r="1399" spans="1:5" x14ac:dyDescent="0.3">
      <c r="A1399" t="s">
        <v>62</v>
      </c>
      <c r="B1399">
        <v>68829.64</v>
      </c>
      <c r="C1399">
        <v>26</v>
      </c>
      <c r="D1399">
        <v>1</v>
      </c>
      <c r="E1399" t="s">
        <v>1414</v>
      </c>
    </row>
    <row r="1400" spans="1:5" x14ac:dyDescent="0.3">
      <c r="A1400" t="s">
        <v>1811</v>
      </c>
      <c r="B1400">
        <v>9841.1200000000008</v>
      </c>
      <c r="C1400">
        <v>14</v>
      </c>
      <c r="D1400">
        <v>0.85865199999999997</v>
      </c>
      <c r="E1400" t="s">
        <v>1414</v>
      </c>
    </row>
    <row r="1401" spans="1:5" x14ac:dyDescent="0.3">
      <c r="A1401" t="s">
        <v>1022</v>
      </c>
      <c r="B1401">
        <v>-38566.89</v>
      </c>
      <c r="C1401">
        <v>15</v>
      </c>
      <c r="D1401">
        <v>0.99043400000000004</v>
      </c>
      <c r="E1401">
        <v>0.99910900000000002</v>
      </c>
    </row>
    <row r="1402" spans="1:5" x14ac:dyDescent="0.3">
      <c r="A1402" t="s">
        <v>2156</v>
      </c>
      <c r="B1402">
        <v>12992.2</v>
      </c>
      <c r="C1402">
        <v>20</v>
      </c>
      <c r="D1402">
        <v>1</v>
      </c>
      <c r="E1402" t="s">
        <v>1414</v>
      </c>
    </row>
    <row r="1403" spans="1:5" x14ac:dyDescent="0.3">
      <c r="A1403" t="s">
        <v>207</v>
      </c>
      <c r="B1403">
        <v>13764.9</v>
      </c>
      <c r="C1403">
        <v>11</v>
      </c>
      <c r="D1403">
        <v>1</v>
      </c>
      <c r="E1403" t="s">
        <v>1414</v>
      </c>
    </row>
    <row r="1404" spans="1:5" x14ac:dyDescent="0.3">
      <c r="A1404" t="s">
        <v>208</v>
      </c>
      <c r="B1404">
        <v>62301.61</v>
      </c>
      <c r="C1404">
        <v>118</v>
      </c>
      <c r="D1404">
        <v>0.97032399999999996</v>
      </c>
      <c r="E1404">
        <v>0.91191</v>
      </c>
    </row>
    <row r="1405" spans="1:5" x14ac:dyDescent="0.3">
      <c r="A1405" t="s">
        <v>2157</v>
      </c>
      <c r="B1405">
        <v>0</v>
      </c>
      <c r="C1405">
        <v>0</v>
      </c>
      <c r="D1405" t="s">
        <v>1414</v>
      </c>
      <c r="E1405" t="s">
        <v>1414</v>
      </c>
    </row>
    <row r="1406" spans="1:5" x14ac:dyDescent="0.3">
      <c r="A1406" t="s">
        <v>209</v>
      </c>
      <c r="B1406">
        <v>-216135.86</v>
      </c>
      <c r="C1406">
        <v>11</v>
      </c>
      <c r="D1406">
        <v>0.98282700000000001</v>
      </c>
      <c r="E1406">
        <v>0.75891799999999998</v>
      </c>
    </row>
    <row r="1407" spans="1:5" x14ac:dyDescent="0.3">
      <c r="A1407" t="s">
        <v>874</v>
      </c>
      <c r="B1407">
        <v>-147976.78</v>
      </c>
      <c r="C1407">
        <v>19</v>
      </c>
      <c r="D1407">
        <v>0.96960000000000002</v>
      </c>
      <c r="E1407">
        <v>0.97202299999999997</v>
      </c>
    </row>
    <row r="1408" spans="1:5" x14ac:dyDescent="0.3">
      <c r="A1408" t="s">
        <v>361</v>
      </c>
      <c r="B1408">
        <v>-75630.27</v>
      </c>
      <c r="C1408">
        <v>15</v>
      </c>
      <c r="D1408">
        <v>0.95674800000000004</v>
      </c>
      <c r="E1408">
        <v>0.890185</v>
      </c>
    </row>
    <row r="1409" spans="1:5" x14ac:dyDescent="0.3">
      <c r="A1409" t="s">
        <v>433</v>
      </c>
      <c r="B1409">
        <v>18896.2</v>
      </c>
      <c r="C1409">
        <v>13</v>
      </c>
      <c r="D1409">
        <v>0.94587299999999996</v>
      </c>
      <c r="E1409">
        <v>0.43139699999999997</v>
      </c>
    </row>
    <row r="1410" spans="1:5" x14ac:dyDescent="0.3">
      <c r="A1410" t="s">
        <v>272</v>
      </c>
      <c r="B1410">
        <v>37767.61</v>
      </c>
      <c r="C1410">
        <v>19</v>
      </c>
      <c r="D1410">
        <v>1</v>
      </c>
      <c r="E1410">
        <v>1</v>
      </c>
    </row>
    <row r="1411" spans="1:5" x14ac:dyDescent="0.3">
      <c r="A1411" t="s">
        <v>1106</v>
      </c>
      <c r="B1411">
        <v>88459.87</v>
      </c>
      <c r="C1411">
        <v>114</v>
      </c>
      <c r="D1411">
        <v>0.98599300000000001</v>
      </c>
      <c r="E1411">
        <v>0.171601</v>
      </c>
    </row>
    <row r="1412" spans="1:5" x14ac:dyDescent="0.3">
      <c r="A1412" t="s">
        <v>362</v>
      </c>
      <c r="B1412">
        <v>48793.54</v>
      </c>
      <c r="C1412">
        <v>27</v>
      </c>
      <c r="D1412">
        <v>1</v>
      </c>
      <c r="E1412">
        <v>1</v>
      </c>
    </row>
    <row r="1413" spans="1:5" x14ac:dyDescent="0.3">
      <c r="A1413" t="s">
        <v>434</v>
      </c>
      <c r="B1413">
        <v>146834.23000000001</v>
      </c>
      <c r="C1413">
        <v>24</v>
      </c>
      <c r="D1413">
        <v>0.99219999999999997</v>
      </c>
      <c r="E1413">
        <v>0.98202599999999995</v>
      </c>
    </row>
    <row r="1414" spans="1:5" x14ac:dyDescent="0.3">
      <c r="A1414" t="s">
        <v>127</v>
      </c>
      <c r="B1414">
        <v>-44765.01</v>
      </c>
      <c r="C1414">
        <v>12</v>
      </c>
      <c r="D1414">
        <v>0.99968599999999996</v>
      </c>
      <c r="E1414">
        <v>0.98063900000000004</v>
      </c>
    </row>
    <row r="1415" spans="1:5" x14ac:dyDescent="0.3">
      <c r="A1415" t="s">
        <v>501</v>
      </c>
      <c r="B1415">
        <v>26772.53</v>
      </c>
      <c r="C1415">
        <v>20</v>
      </c>
      <c r="D1415">
        <v>0.98013600000000001</v>
      </c>
      <c r="E1415">
        <v>0.75583400000000001</v>
      </c>
    </row>
    <row r="1416" spans="1:5" x14ac:dyDescent="0.3">
      <c r="A1416" t="s">
        <v>435</v>
      </c>
      <c r="B1416">
        <v>209495.96</v>
      </c>
      <c r="C1416">
        <v>17</v>
      </c>
      <c r="D1416">
        <v>1</v>
      </c>
      <c r="E1416">
        <v>1</v>
      </c>
    </row>
    <row r="1417" spans="1:5" x14ac:dyDescent="0.3">
      <c r="A1417" t="s">
        <v>1177</v>
      </c>
      <c r="B1417">
        <v>-94342.26</v>
      </c>
      <c r="C1417">
        <v>11</v>
      </c>
      <c r="D1417">
        <v>0.87296600000000002</v>
      </c>
      <c r="E1417">
        <v>1</v>
      </c>
    </row>
    <row r="1418" spans="1:5" x14ac:dyDescent="0.3">
      <c r="A1418" t="s">
        <v>1812</v>
      </c>
      <c r="B1418">
        <v>-15066.64</v>
      </c>
      <c r="C1418">
        <v>41</v>
      </c>
      <c r="D1418">
        <v>0.96674199999999999</v>
      </c>
      <c r="E1418" t="s">
        <v>1414</v>
      </c>
    </row>
    <row r="1419" spans="1:5" x14ac:dyDescent="0.3">
      <c r="A1419" t="s">
        <v>585</v>
      </c>
      <c r="B1419">
        <v>-34754.69</v>
      </c>
      <c r="C1419">
        <v>14</v>
      </c>
      <c r="D1419">
        <v>0.95365699999999998</v>
      </c>
      <c r="E1419">
        <v>0.43547200000000003</v>
      </c>
    </row>
    <row r="1420" spans="1:5" x14ac:dyDescent="0.3">
      <c r="A1420" t="s">
        <v>875</v>
      </c>
      <c r="B1420">
        <v>-272155.34999999998</v>
      </c>
      <c r="C1420">
        <v>1</v>
      </c>
      <c r="D1420">
        <v>0.99606499999999998</v>
      </c>
      <c r="E1420">
        <v>0</v>
      </c>
    </row>
    <row r="1421" spans="1:5" x14ac:dyDescent="0.3">
      <c r="A1421" t="s">
        <v>210</v>
      </c>
      <c r="B1421">
        <v>-30745.03</v>
      </c>
      <c r="C1421">
        <v>0</v>
      </c>
      <c r="D1421">
        <v>0.96420499999999998</v>
      </c>
      <c r="E1421">
        <v>0.84431900000000004</v>
      </c>
    </row>
    <row r="1422" spans="1:5" x14ac:dyDescent="0.3">
      <c r="A1422" t="s">
        <v>1571</v>
      </c>
      <c r="B1422">
        <v>95529.62</v>
      </c>
      <c r="C1422">
        <v>17</v>
      </c>
      <c r="D1422">
        <v>0.98121800000000003</v>
      </c>
      <c r="E1422">
        <v>0.79869699999999999</v>
      </c>
    </row>
    <row r="1423" spans="1:5" x14ac:dyDescent="0.3">
      <c r="A1423" t="s">
        <v>128</v>
      </c>
      <c r="B1423">
        <v>38673.67</v>
      </c>
      <c r="C1423">
        <v>21</v>
      </c>
      <c r="D1423">
        <v>0.97357099999999996</v>
      </c>
      <c r="E1423">
        <v>1</v>
      </c>
    </row>
    <row r="1424" spans="1:5" x14ac:dyDescent="0.3">
      <c r="A1424" t="s">
        <v>1572</v>
      </c>
      <c r="B1424">
        <v>21531.15</v>
      </c>
      <c r="C1424">
        <v>110</v>
      </c>
      <c r="D1424">
        <v>0.99507999999999996</v>
      </c>
      <c r="E1424">
        <v>1</v>
      </c>
    </row>
    <row r="1425" spans="1:5" x14ac:dyDescent="0.3">
      <c r="A1425" t="s">
        <v>1813</v>
      </c>
      <c r="B1425">
        <v>98846.720000000001</v>
      </c>
      <c r="C1425">
        <v>12</v>
      </c>
      <c r="D1425">
        <v>1</v>
      </c>
      <c r="E1425">
        <v>0</v>
      </c>
    </row>
    <row r="1426" spans="1:5" x14ac:dyDescent="0.3">
      <c r="A1426" t="s">
        <v>876</v>
      </c>
      <c r="B1426">
        <v>73127.399999999994</v>
      </c>
      <c r="C1426">
        <v>21</v>
      </c>
      <c r="D1426">
        <v>1</v>
      </c>
      <c r="E1426">
        <v>1</v>
      </c>
    </row>
    <row r="1427" spans="1:5" x14ac:dyDescent="0.3">
      <c r="A1427" t="s">
        <v>2158</v>
      </c>
      <c r="B1427">
        <v>24777.040000000001</v>
      </c>
      <c r="C1427">
        <v>13</v>
      </c>
      <c r="D1427">
        <v>1</v>
      </c>
      <c r="E1427">
        <v>1</v>
      </c>
    </row>
    <row r="1428" spans="1:5" x14ac:dyDescent="0.3">
      <c r="A1428" t="s">
        <v>502</v>
      </c>
      <c r="B1428">
        <v>-1631.03</v>
      </c>
      <c r="C1428">
        <v>18</v>
      </c>
      <c r="D1428">
        <v>0.989205</v>
      </c>
      <c r="E1428">
        <v>0.77049599999999996</v>
      </c>
    </row>
    <row r="1429" spans="1:5" x14ac:dyDescent="0.3">
      <c r="A1429" t="s">
        <v>1573</v>
      </c>
      <c r="B1429">
        <v>150554.78</v>
      </c>
      <c r="C1429">
        <v>13</v>
      </c>
      <c r="D1429">
        <v>1</v>
      </c>
      <c r="E1429" t="s">
        <v>1414</v>
      </c>
    </row>
    <row r="1430" spans="1:5" x14ac:dyDescent="0.3">
      <c r="A1430" t="s">
        <v>955</v>
      </c>
      <c r="B1430">
        <v>53248.62</v>
      </c>
      <c r="C1430">
        <v>18</v>
      </c>
      <c r="D1430">
        <v>0.98410200000000003</v>
      </c>
      <c r="E1430">
        <v>0.968194</v>
      </c>
    </row>
    <row r="1431" spans="1:5" x14ac:dyDescent="0.3">
      <c r="A1431" t="s">
        <v>1178</v>
      </c>
      <c r="B1431">
        <v>49034.29</v>
      </c>
      <c r="C1431">
        <v>27</v>
      </c>
      <c r="D1431">
        <v>0.98909400000000003</v>
      </c>
      <c r="E1431">
        <v>9.2420000000000002E-2</v>
      </c>
    </row>
    <row r="1432" spans="1:5" x14ac:dyDescent="0.3">
      <c r="A1432" t="s">
        <v>877</v>
      </c>
      <c r="B1432">
        <v>25526.4399999999</v>
      </c>
      <c r="C1432">
        <v>9</v>
      </c>
      <c r="D1432">
        <v>0.99838899999999997</v>
      </c>
      <c r="E1432">
        <v>1</v>
      </c>
    </row>
    <row r="1433" spans="1:5" x14ac:dyDescent="0.3">
      <c r="A1433" t="s">
        <v>1814</v>
      </c>
      <c r="B1433">
        <v>521.67999999999995</v>
      </c>
      <c r="C1433">
        <v>53</v>
      </c>
      <c r="D1433">
        <v>1</v>
      </c>
      <c r="E1433" t="s">
        <v>1414</v>
      </c>
    </row>
    <row r="1434" spans="1:5" x14ac:dyDescent="0.3">
      <c r="A1434" t="s">
        <v>1179</v>
      </c>
      <c r="B1434">
        <v>-8900.3799999999992</v>
      </c>
      <c r="C1434">
        <v>15</v>
      </c>
      <c r="D1434">
        <v>0.99781200000000003</v>
      </c>
      <c r="E1434">
        <v>0.52388599999999996</v>
      </c>
    </row>
    <row r="1435" spans="1:5" x14ac:dyDescent="0.3">
      <c r="A1435" t="s">
        <v>791</v>
      </c>
      <c r="B1435">
        <v>51949.71</v>
      </c>
      <c r="C1435">
        <v>24</v>
      </c>
      <c r="D1435">
        <v>0.99555300000000002</v>
      </c>
      <c r="E1435">
        <v>0.88471200000000005</v>
      </c>
    </row>
    <row r="1436" spans="1:5" x14ac:dyDescent="0.3">
      <c r="A1436" t="s">
        <v>1980</v>
      </c>
      <c r="B1436">
        <v>14339</v>
      </c>
      <c r="C1436">
        <v>7</v>
      </c>
      <c r="D1436" t="s">
        <v>1414</v>
      </c>
      <c r="E1436" t="s">
        <v>1414</v>
      </c>
    </row>
    <row r="1437" spans="1:5" x14ac:dyDescent="0.3">
      <c r="A1437" t="s">
        <v>1180</v>
      </c>
      <c r="B1437">
        <v>-27612.09</v>
      </c>
      <c r="C1437">
        <v>14</v>
      </c>
      <c r="D1437">
        <v>0.94853299999999996</v>
      </c>
      <c r="E1437" t="s">
        <v>1414</v>
      </c>
    </row>
    <row r="1438" spans="1:5" x14ac:dyDescent="0.3">
      <c r="A1438" t="s">
        <v>586</v>
      </c>
      <c r="B1438">
        <v>0</v>
      </c>
      <c r="C1438">
        <v>0</v>
      </c>
      <c r="D1438" t="s">
        <v>1414</v>
      </c>
      <c r="E1438" t="s">
        <v>1414</v>
      </c>
    </row>
    <row r="1439" spans="1:5" x14ac:dyDescent="0.3">
      <c r="A1439" t="s">
        <v>728</v>
      </c>
      <c r="B1439">
        <v>-72683.67</v>
      </c>
      <c r="C1439">
        <v>9</v>
      </c>
      <c r="D1439">
        <v>0.99615299999999996</v>
      </c>
      <c r="E1439">
        <v>0.64182300000000003</v>
      </c>
    </row>
    <row r="1440" spans="1:5" x14ac:dyDescent="0.3">
      <c r="A1440" t="s">
        <v>1574</v>
      </c>
      <c r="B1440">
        <v>132782.03</v>
      </c>
      <c r="C1440">
        <v>17</v>
      </c>
      <c r="D1440">
        <v>1</v>
      </c>
      <c r="E1440" t="s">
        <v>1414</v>
      </c>
    </row>
    <row r="1441" spans="1:5" x14ac:dyDescent="0.3">
      <c r="A1441" t="s">
        <v>1981</v>
      </c>
      <c r="B1441">
        <v>116851.04</v>
      </c>
      <c r="C1441">
        <v>18</v>
      </c>
      <c r="D1441">
        <v>0.99420799999999998</v>
      </c>
      <c r="E1441">
        <v>0.961781</v>
      </c>
    </row>
    <row r="1442" spans="1:5" x14ac:dyDescent="0.3">
      <c r="A1442" t="s">
        <v>1023</v>
      </c>
      <c r="B1442">
        <v>85789.98</v>
      </c>
      <c r="C1442">
        <v>27</v>
      </c>
      <c r="D1442">
        <v>0.99741400000000002</v>
      </c>
      <c r="E1442">
        <v>0.78189900000000001</v>
      </c>
    </row>
    <row r="1443" spans="1:5" x14ac:dyDescent="0.3">
      <c r="A1443" t="s">
        <v>1815</v>
      </c>
      <c r="B1443">
        <v>-113813.75999999999</v>
      </c>
      <c r="C1443">
        <v>11</v>
      </c>
      <c r="D1443">
        <v>0.98217299999999996</v>
      </c>
      <c r="E1443">
        <v>0.75225699999999995</v>
      </c>
    </row>
    <row r="1444" spans="1:5" x14ac:dyDescent="0.3">
      <c r="A1444" t="s">
        <v>1982</v>
      </c>
      <c r="B1444">
        <v>-86390.95</v>
      </c>
      <c r="C1444">
        <v>10</v>
      </c>
      <c r="D1444">
        <v>0.97690699999999997</v>
      </c>
      <c r="E1444">
        <v>0.34670099999999998</v>
      </c>
    </row>
    <row r="1445" spans="1:5" x14ac:dyDescent="0.3">
      <c r="A1445" t="s">
        <v>2159</v>
      </c>
      <c r="B1445">
        <v>15249</v>
      </c>
      <c r="C1445">
        <v>6</v>
      </c>
      <c r="D1445" t="s">
        <v>1414</v>
      </c>
      <c r="E1445" t="s">
        <v>1414</v>
      </c>
    </row>
    <row r="1446" spans="1:5" x14ac:dyDescent="0.3">
      <c r="A1446" t="s">
        <v>1816</v>
      </c>
      <c r="B1446">
        <v>10698.72</v>
      </c>
      <c r="C1446">
        <v>6</v>
      </c>
      <c r="D1446">
        <v>1</v>
      </c>
      <c r="E1446">
        <v>1</v>
      </c>
    </row>
    <row r="1447" spans="1:5" x14ac:dyDescent="0.3">
      <c r="A1447" t="s">
        <v>1817</v>
      </c>
      <c r="B1447">
        <v>74035.02</v>
      </c>
      <c r="C1447">
        <v>16</v>
      </c>
      <c r="D1447">
        <v>1</v>
      </c>
      <c r="E1447">
        <v>0</v>
      </c>
    </row>
    <row r="1448" spans="1:5" x14ac:dyDescent="0.3">
      <c r="A1448" t="s">
        <v>63</v>
      </c>
      <c r="B1448">
        <v>-86453.99</v>
      </c>
      <c r="C1448">
        <v>22</v>
      </c>
      <c r="D1448">
        <v>1</v>
      </c>
      <c r="E1448">
        <v>0.17371900000000001</v>
      </c>
    </row>
    <row r="1449" spans="1:5" x14ac:dyDescent="0.3">
      <c r="A1449" t="s">
        <v>792</v>
      </c>
      <c r="B1449">
        <v>0</v>
      </c>
      <c r="C1449">
        <v>0</v>
      </c>
      <c r="D1449" t="s">
        <v>1414</v>
      </c>
      <c r="E1449" t="s">
        <v>1414</v>
      </c>
    </row>
    <row r="1450" spans="1:5" x14ac:dyDescent="0.3">
      <c r="A1450" t="s">
        <v>1983</v>
      </c>
      <c r="B1450">
        <v>180425.33</v>
      </c>
      <c r="C1450">
        <v>14</v>
      </c>
      <c r="D1450">
        <v>0.99138700000000002</v>
      </c>
      <c r="E1450" t="s">
        <v>1414</v>
      </c>
    </row>
    <row r="1451" spans="1:5" x14ac:dyDescent="0.3">
      <c r="A1451" t="s">
        <v>1818</v>
      </c>
      <c r="B1451">
        <v>-1209.49</v>
      </c>
      <c r="C1451">
        <v>0</v>
      </c>
      <c r="D1451">
        <v>1</v>
      </c>
      <c r="E1451" t="s">
        <v>1414</v>
      </c>
    </row>
    <row r="1452" spans="1:5" x14ac:dyDescent="0.3">
      <c r="A1452" t="s">
        <v>1575</v>
      </c>
      <c r="B1452">
        <v>43652.13</v>
      </c>
      <c r="C1452">
        <v>12</v>
      </c>
      <c r="D1452">
        <v>1</v>
      </c>
      <c r="E1452">
        <v>1</v>
      </c>
    </row>
    <row r="1453" spans="1:5" x14ac:dyDescent="0.3">
      <c r="A1453" t="s">
        <v>211</v>
      </c>
      <c r="B1453">
        <v>-143383.92000000001</v>
      </c>
      <c r="C1453">
        <v>15</v>
      </c>
      <c r="D1453">
        <v>0.99044699999999997</v>
      </c>
      <c r="E1453">
        <v>1</v>
      </c>
    </row>
    <row r="1454" spans="1:5" x14ac:dyDescent="0.3">
      <c r="A1454" t="s">
        <v>1984</v>
      </c>
      <c r="B1454">
        <v>48936.37</v>
      </c>
      <c r="C1454">
        <v>12</v>
      </c>
      <c r="D1454">
        <v>1</v>
      </c>
      <c r="E1454" t="s">
        <v>1414</v>
      </c>
    </row>
    <row r="1455" spans="1:5" x14ac:dyDescent="0.3">
      <c r="A1455" t="s">
        <v>1181</v>
      </c>
      <c r="B1455">
        <v>125308.41</v>
      </c>
      <c r="C1455">
        <v>20</v>
      </c>
      <c r="D1455">
        <v>1</v>
      </c>
      <c r="E1455">
        <v>0</v>
      </c>
    </row>
    <row r="1456" spans="1:5" x14ac:dyDescent="0.3">
      <c r="A1456" t="s">
        <v>503</v>
      </c>
      <c r="B1456">
        <v>63897.83</v>
      </c>
      <c r="C1456">
        <v>15</v>
      </c>
      <c r="D1456">
        <v>1</v>
      </c>
      <c r="E1456">
        <v>1</v>
      </c>
    </row>
    <row r="1457" spans="1:5" x14ac:dyDescent="0.3">
      <c r="A1457" t="s">
        <v>1182</v>
      </c>
      <c r="B1457">
        <v>5019.32</v>
      </c>
      <c r="C1457">
        <v>8</v>
      </c>
      <c r="D1457">
        <v>1</v>
      </c>
      <c r="E1457" t="s">
        <v>1414</v>
      </c>
    </row>
    <row r="1458" spans="1:5" x14ac:dyDescent="0.3">
      <c r="A1458" t="s">
        <v>1183</v>
      </c>
      <c r="B1458">
        <v>138917.93</v>
      </c>
      <c r="C1458">
        <v>23</v>
      </c>
      <c r="D1458">
        <v>1</v>
      </c>
      <c r="E1458">
        <v>1</v>
      </c>
    </row>
    <row r="1459" spans="1:5" x14ac:dyDescent="0.3">
      <c r="A1459" t="s">
        <v>878</v>
      </c>
      <c r="B1459">
        <v>81041.36</v>
      </c>
      <c r="C1459">
        <v>17</v>
      </c>
      <c r="D1459">
        <v>0.99834299999999998</v>
      </c>
      <c r="E1459">
        <v>1</v>
      </c>
    </row>
    <row r="1460" spans="1:5" x14ac:dyDescent="0.3">
      <c r="A1460" t="s">
        <v>956</v>
      </c>
      <c r="B1460">
        <v>178070.62</v>
      </c>
      <c r="C1460">
        <v>17</v>
      </c>
      <c r="D1460">
        <v>0.99775100000000005</v>
      </c>
      <c r="E1460" t="s">
        <v>1414</v>
      </c>
    </row>
    <row r="1461" spans="1:5" x14ac:dyDescent="0.3">
      <c r="A1461" t="s">
        <v>1576</v>
      </c>
      <c r="B1461">
        <v>41287.29</v>
      </c>
      <c r="C1461">
        <v>16</v>
      </c>
      <c r="D1461">
        <v>0.99468400000000001</v>
      </c>
      <c r="E1461">
        <v>1</v>
      </c>
    </row>
    <row r="1462" spans="1:5" x14ac:dyDescent="0.3">
      <c r="A1462" t="s">
        <v>129</v>
      </c>
      <c r="B1462">
        <v>50085.71</v>
      </c>
      <c r="C1462">
        <v>26</v>
      </c>
      <c r="D1462">
        <v>0.96043699999999999</v>
      </c>
      <c r="E1462">
        <v>3.3183999999999998E-2</v>
      </c>
    </row>
    <row r="1463" spans="1:5" x14ac:dyDescent="0.3">
      <c r="A1463" t="s">
        <v>587</v>
      </c>
      <c r="B1463">
        <v>-293467.88</v>
      </c>
      <c r="C1463">
        <v>0</v>
      </c>
      <c r="D1463">
        <v>0.97023499999999996</v>
      </c>
      <c r="E1463">
        <v>0.109891</v>
      </c>
    </row>
    <row r="1464" spans="1:5" x14ac:dyDescent="0.3">
      <c r="A1464" t="s">
        <v>588</v>
      </c>
      <c r="B1464">
        <v>-118514.67</v>
      </c>
      <c r="C1464">
        <v>14</v>
      </c>
      <c r="D1464">
        <v>1</v>
      </c>
      <c r="E1464">
        <v>0.66020999999999996</v>
      </c>
    </row>
    <row r="1465" spans="1:5" x14ac:dyDescent="0.3">
      <c r="A1465" t="s">
        <v>793</v>
      </c>
      <c r="B1465">
        <v>133709.67000000001</v>
      </c>
      <c r="C1465">
        <v>24</v>
      </c>
      <c r="D1465">
        <v>1</v>
      </c>
      <c r="E1465">
        <v>1</v>
      </c>
    </row>
    <row r="1466" spans="1:5" x14ac:dyDescent="0.3">
      <c r="A1466" t="s">
        <v>504</v>
      </c>
      <c r="B1466">
        <v>129313.4</v>
      </c>
      <c r="C1466">
        <v>23</v>
      </c>
      <c r="D1466">
        <v>1</v>
      </c>
      <c r="E1466">
        <v>0.27910600000000002</v>
      </c>
    </row>
    <row r="1467" spans="1:5" x14ac:dyDescent="0.3">
      <c r="A1467" t="s">
        <v>1577</v>
      </c>
      <c r="B1467">
        <v>-129899.98</v>
      </c>
      <c r="C1467">
        <v>0</v>
      </c>
      <c r="D1467">
        <v>1</v>
      </c>
      <c r="E1467" t="s">
        <v>1414</v>
      </c>
    </row>
    <row r="1468" spans="1:5" x14ac:dyDescent="0.3">
      <c r="A1468" t="s">
        <v>1578</v>
      </c>
      <c r="B1468">
        <v>96498.17</v>
      </c>
      <c r="C1468">
        <v>16</v>
      </c>
      <c r="D1468">
        <v>1</v>
      </c>
      <c r="E1468" t="s">
        <v>1414</v>
      </c>
    </row>
    <row r="1469" spans="1:5" x14ac:dyDescent="0.3">
      <c r="A1469" t="s">
        <v>1579</v>
      </c>
      <c r="B1469">
        <v>39651.980000000003</v>
      </c>
      <c r="C1469">
        <v>12</v>
      </c>
      <c r="D1469">
        <v>1</v>
      </c>
      <c r="E1469" t="s">
        <v>1414</v>
      </c>
    </row>
    <row r="1470" spans="1:5" x14ac:dyDescent="0.3">
      <c r="A1470" t="s">
        <v>1819</v>
      </c>
      <c r="B1470">
        <v>-125650.02</v>
      </c>
      <c r="C1470">
        <v>6</v>
      </c>
      <c r="D1470">
        <v>0.98425099999999999</v>
      </c>
      <c r="E1470">
        <v>0.93451799999999996</v>
      </c>
    </row>
    <row r="1471" spans="1:5" x14ac:dyDescent="0.3">
      <c r="A1471" t="s">
        <v>1107</v>
      </c>
      <c r="B1471">
        <v>109182.57</v>
      </c>
      <c r="C1471">
        <v>24</v>
      </c>
      <c r="D1471">
        <v>0.993228</v>
      </c>
      <c r="E1471">
        <v>0.87012100000000003</v>
      </c>
    </row>
    <row r="1472" spans="1:5" x14ac:dyDescent="0.3">
      <c r="A1472" t="s">
        <v>1820</v>
      </c>
      <c r="B1472">
        <v>35877.65</v>
      </c>
      <c r="C1472">
        <v>52</v>
      </c>
      <c r="D1472">
        <v>0.97196400000000005</v>
      </c>
      <c r="E1472">
        <v>1</v>
      </c>
    </row>
    <row r="1473" spans="1:5" x14ac:dyDescent="0.3">
      <c r="A1473" t="s">
        <v>1985</v>
      </c>
      <c r="B1473">
        <v>298425.58</v>
      </c>
      <c r="C1473">
        <v>21</v>
      </c>
      <c r="D1473">
        <v>1</v>
      </c>
      <c r="E1473" t="s">
        <v>1414</v>
      </c>
    </row>
    <row r="1474" spans="1:5" x14ac:dyDescent="0.3">
      <c r="A1474" t="s">
        <v>1024</v>
      </c>
      <c r="B1474">
        <v>87748.84</v>
      </c>
      <c r="C1474">
        <v>19</v>
      </c>
      <c r="D1474">
        <v>1</v>
      </c>
      <c r="E1474">
        <v>0.88149299999999997</v>
      </c>
    </row>
    <row r="1475" spans="1:5" x14ac:dyDescent="0.3">
      <c r="A1475" t="s">
        <v>273</v>
      </c>
      <c r="B1475">
        <v>-15228.63</v>
      </c>
      <c r="C1475">
        <v>22</v>
      </c>
      <c r="D1475">
        <v>0.97549600000000003</v>
      </c>
      <c r="E1475">
        <v>0.91821900000000001</v>
      </c>
    </row>
    <row r="1476" spans="1:5" x14ac:dyDescent="0.3">
      <c r="A1476" t="s">
        <v>1580</v>
      </c>
      <c r="B1476">
        <v>81748.009999999995</v>
      </c>
      <c r="C1476">
        <v>17</v>
      </c>
      <c r="D1476">
        <v>0.99915699999999996</v>
      </c>
      <c r="E1476" t="s">
        <v>1414</v>
      </c>
    </row>
    <row r="1477" spans="1:5" x14ac:dyDescent="0.3">
      <c r="A1477" t="s">
        <v>1821</v>
      </c>
      <c r="B1477">
        <v>49741.84</v>
      </c>
      <c r="C1477">
        <v>18</v>
      </c>
      <c r="D1477">
        <v>1</v>
      </c>
      <c r="E1477" t="s">
        <v>1414</v>
      </c>
    </row>
    <row r="1478" spans="1:5" x14ac:dyDescent="0.3">
      <c r="A1478" t="s">
        <v>505</v>
      </c>
      <c r="B1478">
        <v>0</v>
      </c>
      <c r="C1478">
        <v>0</v>
      </c>
      <c r="D1478" t="s">
        <v>1414</v>
      </c>
      <c r="E1478" t="s">
        <v>1414</v>
      </c>
    </row>
    <row r="1479" spans="1:5" x14ac:dyDescent="0.3">
      <c r="A1479" t="s">
        <v>274</v>
      </c>
      <c r="B1479">
        <v>32136.53</v>
      </c>
      <c r="C1479">
        <v>17</v>
      </c>
      <c r="D1479">
        <v>1</v>
      </c>
      <c r="E1479">
        <v>0.89377600000000001</v>
      </c>
    </row>
    <row r="1480" spans="1:5" x14ac:dyDescent="0.3">
      <c r="A1480" t="s">
        <v>275</v>
      </c>
      <c r="B1480">
        <v>56851.28</v>
      </c>
      <c r="C1480">
        <v>9</v>
      </c>
      <c r="D1480">
        <v>0.95119699999999996</v>
      </c>
      <c r="E1480">
        <v>0.85569099999999998</v>
      </c>
    </row>
    <row r="1481" spans="1:5" x14ac:dyDescent="0.3">
      <c r="A1481" t="s">
        <v>276</v>
      </c>
      <c r="B1481">
        <v>49324.76</v>
      </c>
      <c r="C1481">
        <v>20</v>
      </c>
      <c r="D1481">
        <v>0.99355800000000005</v>
      </c>
      <c r="E1481">
        <v>1</v>
      </c>
    </row>
    <row r="1482" spans="1:5" x14ac:dyDescent="0.3">
      <c r="A1482" t="s">
        <v>212</v>
      </c>
      <c r="B1482">
        <v>123597.95</v>
      </c>
      <c r="C1482">
        <v>24</v>
      </c>
      <c r="D1482">
        <v>1</v>
      </c>
      <c r="E1482" t="s">
        <v>1414</v>
      </c>
    </row>
    <row r="1483" spans="1:5" x14ac:dyDescent="0.3">
      <c r="A1483" t="s">
        <v>1108</v>
      </c>
      <c r="B1483">
        <v>77814.06</v>
      </c>
      <c r="C1483">
        <v>19</v>
      </c>
      <c r="D1483">
        <v>1</v>
      </c>
      <c r="E1483" t="s">
        <v>1414</v>
      </c>
    </row>
    <row r="1484" spans="1:5" x14ac:dyDescent="0.3">
      <c r="A1484" t="s">
        <v>794</v>
      </c>
      <c r="B1484">
        <v>34820.949999999997</v>
      </c>
      <c r="C1484">
        <v>17</v>
      </c>
      <c r="D1484">
        <v>1</v>
      </c>
      <c r="E1484">
        <v>1</v>
      </c>
    </row>
    <row r="1485" spans="1:5" x14ac:dyDescent="0.3">
      <c r="A1485" t="s">
        <v>2160</v>
      </c>
      <c r="B1485">
        <v>61506.05</v>
      </c>
      <c r="C1485">
        <v>8</v>
      </c>
      <c r="D1485">
        <v>1</v>
      </c>
      <c r="E1485" t="s">
        <v>1414</v>
      </c>
    </row>
    <row r="1486" spans="1:5" x14ac:dyDescent="0.3">
      <c r="A1486" t="s">
        <v>1581</v>
      </c>
      <c r="B1486">
        <v>-8336.58</v>
      </c>
      <c r="C1486">
        <v>85</v>
      </c>
      <c r="D1486">
        <v>0.95581000000000005</v>
      </c>
      <c r="E1486">
        <v>0.93316900000000003</v>
      </c>
    </row>
    <row r="1487" spans="1:5" x14ac:dyDescent="0.3">
      <c r="A1487" t="s">
        <v>1109</v>
      </c>
      <c r="B1487">
        <v>33464.879999999997</v>
      </c>
      <c r="C1487">
        <v>17</v>
      </c>
      <c r="D1487">
        <v>0.95546200000000003</v>
      </c>
      <c r="E1487">
        <v>0.78915199999999996</v>
      </c>
    </row>
    <row r="1488" spans="1:5" x14ac:dyDescent="0.3">
      <c r="A1488" t="s">
        <v>506</v>
      </c>
      <c r="B1488">
        <v>44339.03</v>
      </c>
      <c r="C1488">
        <v>21</v>
      </c>
      <c r="D1488">
        <v>0.99955700000000003</v>
      </c>
      <c r="E1488">
        <v>0.96275699999999997</v>
      </c>
    </row>
    <row r="1489" spans="1:5" x14ac:dyDescent="0.3">
      <c r="A1489" t="s">
        <v>1822</v>
      </c>
      <c r="B1489">
        <v>88669.27</v>
      </c>
      <c r="C1489">
        <v>21</v>
      </c>
      <c r="D1489">
        <v>1</v>
      </c>
      <c r="E1489" t="s">
        <v>1414</v>
      </c>
    </row>
    <row r="1490" spans="1:5" x14ac:dyDescent="0.3">
      <c r="A1490" t="s">
        <v>1582</v>
      </c>
      <c r="B1490">
        <v>-150688.97</v>
      </c>
      <c r="C1490">
        <v>6</v>
      </c>
      <c r="D1490">
        <v>0.99509099999999995</v>
      </c>
      <c r="E1490">
        <v>0.81277500000000003</v>
      </c>
    </row>
    <row r="1491" spans="1:5" x14ac:dyDescent="0.3">
      <c r="A1491" t="s">
        <v>363</v>
      </c>
      <c r="B1491">
        <v>-164626.57</v>
      </c>
      <c r="C1491">
        <v>1</v>
      </c>
      <c r="D1491">
        <v>0.99774600000000002</v>
      </c>
      <c r="E1491">
        <v>0.81169500000000006</v>
      </c>
    </row>
    <row r="1492" spans="1:5" x14ac:dyDescent="0.3">
      <c r="A1492" t="s">
        <v>1986</v>
      </c>
      <c r="B1492">
        <v>91696.26</v>
      </c>
      <c r="C1492">
        <v>9</v>
      </c>
      <c r="D1492">
        <v>1</v>
      </c>
      <c r="E1492" t="s">
        <v>1414</v>
      </c>
    </row>
    <row r="1493" spans="1:5" x14ac:dyDescent="0.3">
      <c r="A1493" t="s">
        <v>1583</v>
      </c>
      <c r="B1493">
        <v>91116.12</v>
      </c>
      <c r="C1493">
        <v>20</v>
      </c>
      <c r="D1493">
        <v>1</v>
      </c>
      <c r="E1493" t="s">
        <v>1414</v>
      </c>
    </row>
    <row r="1494" spans="1:5" x14ac:dyDescent="0.3">
      <c r="A1494" t="s">
        <v>1184</v>
      </c>
      <c r="B1494">
        <v>156549.46</v>
      </c>
      <c r="C1494">
        <v>23</v>
      </c>
      <c r="D1494">
        <v>0.99378100000000003</v>
      </c>
      <c r="E1494">
        <v>0.90252399999999999</v>
      </c>
    </row>
    <row r="1495" spans="1:5" x14ac:dyDescent="0.3">
      <c r="A1495" t="s">
        <v>1987</v>
      </c>
      <c r="B1495">
        <v>39848.339999999997</v>
      </c>
      <c r="C1495">
        <v>10</v>
      </c>
      <c r="D1495">
        <v>1</v>
      </c>
      <c r="E1495" t="s">
        <v>1414</v>
      </c>
    </row>
    <row r="1496" spans="1:5" x14ac:dyDescent="0.3">
      <c r="A1496" t="s">
        <v>130</v>
      </c>
      <c r="B1496">
        <v>-24014.720000000001</v>
      </c>
      <c r="C1496">
        <v>62</v>
      </c>
      <c r="D1496">
        <v>1</v>
      </c>
      <c r="E1496">
        <v>0.90428200000000003</v>
      </c>
    </row>
    <row r="1497" spans="1:5" x14ac:dyDescent="0.3">
      <c r="A1497" t="s">
        <v>1584</v>
      </c>
      <c r="B1497">
        <v>47181.55</v>
      </c>
      <c r="C1497">
        <v>16</v>
      </c>
      <c r="D1497">
        <v>1</v>
      </c>
      <c r="E1497" t="s">
        <v>1414</v>
      </c>
    </row>
    <row r="1498" spans="1:5" x14ac:dyDescent="0.3">
      <c r="A1498" t="s">
        <v>1823</v>
      </c>
      <c r="B1498">
        <v>13186.72</v>
      </c>
      <c r="C1498">
        <v>52</v>
      </c>
      <c r="D1498">
        <v>1</v>
      </c>
      <c r="E1498" t="s">
        <v>1414</v>
      </c>
    </row>
    <row r="1499" spans="1:5" x14ac:dyDescent="0.3">
      <c r="A1499" t="s">
        <v>1025</v>
      </c>
      <c r="B1499">
        <v>-25891.45</v>
      </c>
      <c r="C1499">
        <v>68</v>
      </c>
      <c r="D1499">
        <v>0.93193099999999995</v>
      </c>
      <c r="E1499">
        <v>8.5208999999999993E-2</v>
      </c>
    </row>
    <row r="1500" spans="1:5" x14ac:dyDescent="0.3">
      <c r="A1500" t="s">
        <v>879</v>
      </c>
      <c r="B1500">
        <v>82591.850000000006</v>
      </c>
      <c r="C1500">
        <v>17</v>
      </c>
      <c r="D1500">
        <v>1</v>
      </c>
      <c r="E1500">
        <v>1</v>
      </c>
    </row>
    <row r="1501" spans="1:5" x14ac:dyDescent="0.3">
      <c r="A1501" t="s">
        <v>2161</v>
      </c>
      <c r="B1501">
        <v>43191.01</v>
      </c>
      <c r="C1501">
        <v>9</v>
      </c>
      <c r="D1501">
        <v>1</v>
      </c>
      <c r="E1501" t="s">
        <v>1414</v>
      </c>
    </row>
    <row r="1502" spans="1:5" x14ac:dyDescent="0.3">
      <c r="A1502" t="s">
        <v>880</v>
      </c>
      <c r="B1502">
        <v>94824.6</v>
      </c>
      <c r="C1502">
        <v>28</v>
      </c>
      <c r="D1502">
        <v>0.99967700000000004</v>
      </c>
      <c r="E1502">
        <v>1</v>
      </c>
    </row>
    <row r="1503" spans="1:5" x14ac:dyDescent="0.3">
      <c r="A1503" t="s">
        <v>1824</v>
      </c>
      <c r="B1503">
        <v>-7414.95</v>
      </c>
      <c r="C1503">
        <v>50</v>
      </c>
      <c r="D1503">
        <v>1</v>
      </c>
      <c r="E1503" t="s">
        <v>1414</v>
      </c>
    </row>
    <row r="1504" spans="1:5" x14ac:dyDescent="0.3">
      <c r="A1504" t="s">
        <v>277</v>
      </c>
      <c r="B1504">
        <v>36921.550000000003</v>
      </c>
      <c r="C1504">
        <v>17</v>
      </c>
      <c r="D1504">
        <v>0.98168599999999995</v>
      </c>
      <c r="E1504">
        <v>0.963866</v>
      </c>
    </row>
    <row r="1505" spans="1:5" x14ac:dyDescent="0.3">
      <c r="A1505" t="s">
        <v>213</v>
      </c>
      <c r="B1505">
        <v>47153.5</v>
      </c>
      <c r="C1505">
        <v>23</v>
      </c>
      <c r="D1505">
        <v>0.99077199999999999</v>
      </c>
      <c r="E1505">
        <v>1</v>
      </c>
    </row>
    <row r="1506" spans="1:5" x14ac:dyDescent="0.3">
      <c r="A1506" t="s">
        <v>1185</v>
      </c>
      <c r="B1506">
        <v>42493.69</v>
      </c>
      <c r="C1506">
        <v>14</v>
      </c>
      <c r="D1506">
        <v>1</v>
      </c>
      <c r="E1506">
        <v>1</v>
      </c>
    </row>
    <row r="1507" spans="1:5" x14ac:dyDescent="0.3">
      <c r="A1507" t="s">
        <v>795</v>
      </c>
      <c r="B1507">
        <v>120956.3</v>
      </c>
      <c r="C1507">
        <v>18</v>
      </c>
      <c r="D1507">
        <v>1</v>
      </c>
      <c r="E1507">
        <v>1</v>
      </c>
    </row>
    <row r="1508" spans="1:5" x14ac:dyDescent="0.3">
      <c r="A1508" t="s">
        <v>2162</v>
      </c>
      <c r="B1508">
        <v>25631.38</v>
      </c>
      <c r="C1508">
        <v>6</v>
      </c>
      <c r="D1508">
        <v>1</v>
      </c>
      <c r="E1508" t="s">
        <v>1414</v>
      </c>
    </row>
    <row r="1509" spans="1:5" x14ac:dyDescent="0.3">
      <c r="A1509" t="s">
        <v>507</v>
      </c>
      <c r="B1509">
        <v>-134201.15</v>
      </c>
      <c r="C1509">
        <v>8</v>
      </c>
      <c r="D1509">
        <v>0.99431400000000003</v>
      </c>
      <c r="E1509">
        <v>0.15215999999999999</v>
      </c>
    </row>
    <row r="1510" spans="1:5" x14ac:dyDescent="0.3">
      <c r="A1510" t="s">
        <v>1825</v>
      </c>
      <c r="B1510">
        <v>-39788.620000000003</v>
      </c>
      <c r="C1510">
        <v>30</v>
      </c>
      <c r="D1510">
        <v>0.96918599999999999</v>
      </c>
      <c r="E1510">
        <v>0.75290199999999996</v>
      </c>
    </row>
    <row r="1511" spans="1:5" x14ac:dyDescent="0.3">
      <c r="A1511" t="s">
        <v>663</v>
      </c>
      <c r="B1511">
        <v>9502.3799999999992</v>
      </c>
      <c r="C1511">
        <v>13</v>
      </c>
      <c r="D1511">
        <v>0.92975300000000005</v>
      </c>
      <c r="E1511">
        <v>0.81083000000000005</v>
      </c>
    </row>
    <row r="1512" spans="1:5" x14ac:dyDescent="0.3">
      <c r="A1512" t="s">
        <v>64</v>
      </c>
      <c r="B1512">
        <v>134599.5</v>
      </c>
      <c r="C1512">
        <v>18</v>
      </c>
      <c r="D1512">
        <v>0.99538000000000004</v>
      </c>
      <c r="E1512" t="s">
        <v>1414</v>
      </c>
    </row>
    <row r="1513" spans="1:5" x14ac:dyDescent="0.3">
      <c r="A1513" t="s">
        <v>1110</v>
      </c>
      <c r="B1513">
        <v>45038.13</v>
      </c>
      <c r="C1513">
        <v>16</v>
      </c>
      <c r="D1513">
        <v>1</v>
      </c>
      <c r="E1513">
        <v>0.66738900000000001</v>
      </c>
    </row>
    <row r="1514" spans="1:5" x14ac:dyDescent="0.3">
      <c r="A1514" t="s">
        <v>1826</v>
      </c>
      <c r="B1514">
        <v>-10708.95</v>
      </c>
      <c r="C1514">
        <v>53</v>
      </c>
      <c r="D1514">
        <v>0.93255900000000003</v>
      </c>
      <c r="E1514">
        <v>0.428041</v>
      </c>
    </row>
    <row r="1515" spans="1:5" x14ac:dyDescent="0.3">
      <c r="A1515" t="s">
        <v>2163</v>
      </c>
      <c r="B1515">
        <v>68122.470000000205</v>
      </c>
      <c r="C1515">
        <v>14</v>
      </c>
      <c r="D1515">
        <v>1</v>
      </c>
      <c r="E1515" t="s">
        <v>1414</v>
      </c>
    </row>
    <row r="1516" spans="1:5" x14ac:dyDescent="0.3">
      <c r="A1516" t="s">
        <v>508</v>
      </c>
      <c r="B1516">
        <v>47269.3</v>
      </c>
      <c r="C1516">
        <v>23</v>
      </c>
      <c r="D1516">
        <v>0.99565899999999996</v>
      </c>
      <c r="E1516">
        <v>1</v>
      </c>
    </row>
    <row r="1517" spans="1:5" x14ac:dyDescent="0.3">
      <c r="A1517" t="s">
        <v>881</v>
      </c>
      <c r="B1517">
        <v>63154.62</v>
      </c>
      <c r="C1517">
        <v>21</v>
      </c>
      <c r="D1517">
        <v>1</v>
      </c>
      <c r="E1517" t="s">
        <v>1414</v>
      </c>
    </row>
    <row r="1518" spans="1:5" x14ac:dyDescent="0.3">
      <c r="A1518" t="s">
        <v>1186</v>
      </c>
      <c r="B1518">
        <v>10972.24</v>
      </c>
      <c r="C1518">
        <v>17</v>
      </c>
      <c r="D1518">
        <v>1</v>
      </c>
      <c r="E1518" t="s">
        <v>1414</v>
      </c>
    </row>
    <row r="1519" spans="1:5" x14ac:dyDescent="0.3">
      <c r="A1519" t="s">
        <v>509</v>
      </c>
      <c r="B1519">
        <v>44332.05</v>
      </c>
      <c r="C1519">
        <v>17</v>
      </c>
      <c r="D1519">
        <v>0.97640800000000005</v>
      </c>
      <c r="E1519">
        <v>0.80769000000000002</v>
      </c>
    </row>
    <row r="1520" spans="1:5" x14ac:dyDescent="0.3">
      <c r="A1520" t="s">
        <v>278</v>
      </c>
      <c r="B1520">
        <v>-288325.13</v>
      </c>
      <c r="C1520">
        <v>0</v>
      </c>
      <c r="D1520">
        <v>0.97191700000000003</v>
      </c>
      <c r="E1520">
        <v>1</v>
      </c>
    </row>
    <row r="1521" spans="1:5" x14ac:dyDescent="0.3">
      <c r="A1521" t="s">
        <v>729</v>
      </c>
      <c r="B1521">
        <v>-128108.56</v>
      </c>
      <c r="C1521">
        <v>12</v>
      </c>
      <c r="D1521">
        <v>1</v>
      </c>
      <c r="E1521">
        <v>0.75071100000000002</v>
      </c>
    </row>
    <row r="1522" spans="1:5" x14ac:dyDescent="0.3">
      <c r="A1522" t="s">
        <v>1026</v>
      </c>
      <c r="B1522">
        <v>23824.19</v>
      </c>
      <c r="C1522">
        <v>21</v>
      </c>
      <c r="D1522">
        <v>0.99897400000000003</v>
      </c>
      <c r="E1522">
        <v>0.97715700000000005</v>
      </c>
    </row>
    <row r="1523" spans="1:5" x14ac:dyDescent="0.3">
      <c r="A1523" t="s">
        <v>1827</v>
      </c>
      <c r="B1523">
        <v>92777.82</v>
      </c>
      <c r="C1523">
        <v>11</v>
      </c>
      <c r="D1523">
        <v>1</v>
      </c>
      <c r="E1523">
        <v>1</v>
      </c>
    </row>
    <row r="1524" spans="1:5" x14ac:dyDescent="0.3">
      <c r="A1524" t="s">
        <v>730</v>
      </c>
      <c r="B1524">
        <v>-7608.32</v>
      </c>
      <c r="C1524">
        <v>28</v>
      </c>
      <c r="D1524">
        <v>0.99641299999999999</v>
      </c>
      <c r="E1524">
        <v>0.57347999999999999</v>
      </c>
    </row>
    <row r="1525" spans="1:5" x14ac:dyDescent="0.3">
      <c r="A1525" t="s">
        <v>1187</v>
      </c>
      <c r="B1525">
        <v>75049.009999999995</v>
      </c>
      <c r="C1525">
        <v>18</v>
      </c>
      <c r="D1525">
        <v>0.99531499999999995</v>
      </c>
      <c r="E1525">
        <v>0.87560000000000004</v>
      </c>
    </row>
    <row r="1526" spans="1:5" x14ac:dyDescent="0.3">
      <c r="A1526" t="s">
        <v>1188</v>
      </c>
      <c r="B1526">
        <v>78312.02</v>
      </c>
      <c r="C1526">
        <v>14</v>
      </c>
      <c r="D1526">
        <v>1</v>
      </c>
      <c r="E1526" t="s">
        <v>1414</v>
      </c>
    </row>
    <row r="1527" spans="1:5" x14ac:dyDescent="0.3">
      <c r="A1527" t="s">
        <v>2164</v>
      </c>
      <c r="B1527">
        <v>7182.18</v>
      </c>
      <c r="C1527">
        <v>2</v>
      </c>
      <c r="D1527">
        <v>1</v>
      </c>
      <c r="E1527" t="s">
        <v>1414</v>
      </c>
    </row>
    <row r="1528" spans="1:5" x14ac:dyDescent="0.3">
      <c r="A1528" t="s">
        <v>957</v>
      </c>
      <c r="B1528">
        <v>-349251.51</v>
      </c>
      <c r="C1528">
        <v>28</v>
      </c>
      <c r="D1528">
        <v>0.95234799999999997</v>
      </c>
      <c r="E1528">
        <v>6.5892000000000006E-2</v>
      </c>
    </row>
    <row r="1529" spans="1:5" x14ac:dyDescent="0.3">
      <c r="A1529" t="s">
        <v>65</v>
      </c>
      <c r="B1529">
        <v>58332.25</v>
      </c>
      <c r="C1529">
        <v>18</v>
      </c>
      <c r="D1529">
        <v>1</v>
      </c>
      <c r="E1529" t="s">
        <v>1414</v>
      </c>
    </row>
    <row r="1530" spans="1:5" x14ac:dyDescent="0.3">
      <c r="A1530" t="s">
        <v>510</v>
      </c>
      <c r="B1530">
        <v>-98111.26</v>
      </c>
      <c r="C1530">
        <v>5</v>
      </c>
      <c r="D1530">
        <v>0.99044900000000002</v>
      </c>
      <c r="E1530">
        <v>0.35650399999999999</v>
      </c>
    </row>
    <row r="1531" spans="1:5" x14ac:dyDescent="0.3">
      <c r="A1531" t="s">
        <v>1828</v>
      </c>
      <c r="B1531">
        <v>83391.95</v>
      </c>
      <c r="C1531">
        <v>16</v>
      </c>
      <c r="D1531">
        <v>0.89612499999999995</v>
      </c>
      <c r="E1531">
        <v>0.107443</v>
      </c>
    </row>
    <row r="1532" spans="1:5" x14ac:dyDescent="0.3">
      <c r="A1532" t="s">
        <v>511</v>
      </c>
      <c r="B1532">
        <v>-131515.99</v>
      </c>
      <c r="C1532">
        <v>16</v>
      </c>
      <c r="D1532">
        <v>0.98807199999999995</v>
      </c>
      <c r="E1532">
        <v>0.82957800000000004</v>
      </c>
    </row>
    <row r="1533" spans="1:5" x14ac:dyDescent="0.3">
      <c r="A1533" t="s">
        <v>214</v>
      </c>
      <c r="B1533">
        <v>46759.94</v>
      </c>
      <c r="C1533">
        <v>20</v>
      </c>
      <c r="D1533">
        <v>1</v>
      </c>
      <c r="E1533">
        <v>1</v>
      </c>
    </row>
    <row r="1534" spans="1:5" x14ac:dyDescent="0.3">
      <c r="A1534" t="s">
        <v>1111</v>
      </c>
      <c r="B1534">
        <v>-102296.33</v>
      </c>
      <c r="C1534">
        <v>8</v>
      </c>
      <c r="D1534">
        <v>0.97814400000000001</v>
      </c>
      <c r="E1534">
        <v>1</v>
      </c>
    </row>
    <row r="1535" spans="1:5" x14ac:dyDescent="0.3">
      <c r="A1535" t="s">
        <v>589</v>
      </c>
      <c r="B1535">
        <v>20895.310000000001</v>
      </c>
      <c r="C1535">
        <v>18</v>
      </c>
      <c r="D1535">
        <v>1</v>
      </c>
      <c r="E1535" t="s">
        <v>1414</v>
      </c>
    </row>
    <row r="1536" spans="1:5" x14ac:dyDescent="0.3">
      <c r="A1536" t="s">
        <v>1585</v>
      </c>
      <c r="B1536">
        <v>48794.8</v>
      </c>
      <c r="C1536">
        <v>13</v>
      </c>
      <c r="D1536">
        <v>0.990618</v>
      </c>
      <c r="E1536" t="s">
        <v>1414</v>
      </c>
    </row>
    <row r="1537" spans="1:5" x14ac:dyDescent="0.3">
      <c r="A1537" t="s">
        <v>2165</v>
      </c>
      <c r="B1537">
        <v>40198.68</v>
      </c>
      <c r="C1537">
        <v>8</v>
      </c>
      <c r="D1537">
        <v>1</v>
      </c>
      <c r="E1537" t="s">
        <v>1414</v>
      </c>
    </row>
    <row r="1538" spans="1:5" x14ac:dyDescent="0.3">
      <c r="A1538" t="s">
        <v>1189</v>
      </c>
      <c r="B1538">
        <v>-63636.66</v>
      </c>
      <c r="C1538">
        <v>7</v>
      </c>
      <c r="D1538">
        <v>0.99660000000000004</v>
      </c>
      <c r="E1538" t="s">
        <v>1414</v>
      </c>
    </row>
    <row r="1539" spans="1:5" x14ac:dyDescent="0.3">
      <c r="A1539" t="s">
        <v>364</v>
      </c>
      <c r="B1539">
        <v>-23489.25</v>
      </c>
      <c r="C1539">
        <v>30</v>
      </c>
      <c r="D1539">
        <v>0.93282200000000004</v>
      </c>
      <c r="E1539">
        <v>0.74315500000000001</v>
      </c>
    </row>
    <row r="1540" spans="1:5" x14ac:dyDescent="0.3">
      <c r="A1540" t="s">
        <v>1988</v>
      </c>
      <c r="B1540">
        <v>290728.92</v>
      </c>
      <c r="C1540">
        <v>15</v>
      </c>
      <c r="D1540">
        <v>1</v>
      </c>
      <c r="E1540" t="s">
        <v>1414</v>
      </c>
    </row>
    <row r="1541" spans="1:5" x14ac:dyDescent="0.3">
      <c r="A1541" t="s">
        <v>1829</v>
      </c>
      <c r="B1541">
        <v>123682.34</v>
      </c>
      <c r="C1541">
        <v>16</v>
      </c>
      <c r="D1541">
        <v>1</v>
      </c>
      <c r="E1541" t="s">
        <v>1414</v>
      </c>
    </row>
    <row r="1542" spans="1:5" x14ac:dyDescent="0.3">
      <c r="A1542" t="s">
        <v>1190</v>
      </c>
      <c r="B1542">
        <v>38260.269999999997</v>
      </c>
      <c r="C1542">
        <v>20</v>
      </c>
      <c r="D1542">
        <v>0.973777</v>
      </c>
      <c r="E1542">
        <v>0.76815100000000003</v>
      </c>
    </row>
    <row r="1543" spans="1:5" x14ac:dyDescent="0.3">
      <c r="A1543" t="s">
        <v>1830</v>
      </c>
      <c r="B1543">
        <v>-11833.18</v>
      </c>
      <c r="C1543">
        <v>10</v>
      </c>
      <c r="D1543">
        <v>0.96676799999999996</v>
      </c>
      <c r="E1543">
        <v>1</v>
      </c>
    </row>
    <row r="1544" spans="1:5" x14ac:dyDescent="0.3">
      <c r="A1544" t="s">
        <v>958</v>
      </c>
      <c r="B1544">
        <v>-29056.58</v>
      </c>
      <c r="C1544">
        <v>60</v>
      </c>
      <c r="D1544">
        <v>0.98163299999999998</v>
      </c>
      <c r="E1544">
        <v>0.67700000000000005</v>
      </c>
    </row>
    <row r="1545" spans="1:5" x14ac:dyDescent="0.3">
      <c r="A1545" t="s">
        <v>1027</v>
      </c>
      <c r="B1545">
        <v>24650.22</v>
      </c>
      <c r="C1545">
        <v>17</v>
      </c>
      <c r="D1545">
        <v>1</v>
      </c>
      <c r="E1545">
        <v>1</v>
      </c>
    </row>
    <row r="1546" spans="1:5" x14ac:dyDescent="0.3">
      <c r="A1546" t="s">
        <v>2166</v>
      </c>
      <c r="B1546">
        <v>219015</v>
      </c>
      <c r="C1546">
        <v>9</v>
      </c>
      <c r="D1546" t="s">
        <v>1414</v>
      </c>
      <c r="E1546" t="s">
        <v>1414</v>
      </c>
    </row>
    <row r="1547" spans="1:5" x14ac:dyDescent="0.3">
      <c r="A1547" t="s">
        <v>131</v>
      </c>
      <c r="B1547">
        <v>119671.23</v>
      </c>
      <c r="C1547">
        <v>24</v>
      </c>
      <c r="D1547">
        <v>1</v>
      </c>
      <c r="E1547">
        <v>1</v>
      </c>
    </row>
    <row r="1548" spans="1:5" x14ac:dyDescent="0.3">
      <c r="A1548" t="s">
        <v>436</v>
      </c>
      <c r="B1548">
        <v>10238.08</v>
      </c>
      <c r="C1548">
        <v>25</v>
      </c>
      <c r="D1548">
        <v>0.973549</v>
      </c>
      <c r="E1548">
        <v>3.9298E-2</v>
      </c>
    </row>
    <row r="1549" spans="1:5" x14ac:dyDescent="0.3">
      <c r="A1549" t="s">
        <v>66</v>
      </c>
      <c r="B1549">
        <v>-91224.35</v>
      </c>
      <c r="C1549">
        <v>11</v>
      </c>
      <c r="D1549">
        <v>0.99598299999999995</v>
      </c>
      <c r="E1549" t="s">
        <v>1414</v>
      </c>
    </row>
    <row r="1550" spans="1:5" x14ac:dyDescent="0.3">
      <c r="A1550" t="s">
        <v>365</v>
      </c>
      <c r="B1550">
        <v>129119.85</v>
      </c>
      <c r="C1550">
        <v>19</v>
      </c>
      <c r="D1550">
        <v>0.99817999999999996</v>
      </c>
      <c r="E1550">
        <v>1</v>
      </c>
    </row>
    <row r="1551" spans="1:5" x14ac:dyDescent="0.3">
      <c r="A1551" t="s">
        <v>2167</v>
      </c>
      <c r="B1551">
        <v>40165</v>
      </c>
      <c r="C1551">
        <v>6</v>
      </c>
      <c r="D1551" t="s">
        <v>1414</v>
      </c>
      <c r="E1551" t="s">
        <v>1414</v>
      </c>
    </row>
    <row r="1552" spans="1:5" x14ac:dyDescent="0.3">
      <c r="A1552" t="s">
        <v>959</v>
      </c>
      <c r="B1552">
        <v>-134325.63</v>
      </c>
      <c r="C1552">
        <v>10</v>
      </c>
      <c r="D1552">
        <v>0.93367299999999998</v>
      </c>
      <c r="E1552">
        <v>0.41720299999999999</v>
      </c>
    </row>
    <row r="1553" spans="1:5" x14ac:dyDescent="0.3">
      <c r="A1553" t="s">
        <v>1831</v>
      </c>
      <c r="B1553">
        <v>88551.27</v>
      </c>
      <c r="C1553">
        <v>11</v>
      </c>
      <c r="D1553">
        <v>0.98572199999999999</v>
      </c>
      <c r="E1553">
        <v>5.1652000000000003E-2</v>
      </c>
    </row>
    <row r="1554" spans="1:5" x14ac:dyDescent="0.3">
      <c r="A1554" t="s">
        <v>590</v>
      </c>
      <c r="B1554">
        <v>52379.05</v>
      </c>
      <c r="C1554">
        <v>18</v>
      </c>
      <c r="D1554">
        <v>1</v>
      </c>
      <c r="E1554">
        <v>1</v>
      </c>
    </row>
    <row r="1555" spans="1:5" x14ac:dyDescent="0.3">
      <c r="A1555" t="s">
        <v>796</v>
      </c>
      <c r="B1555">
        <v>73266.7</v>
      </c>
      <c r="C1555">
        <v>29</v>
      </c>
      <c r="D1555">
        <v>0.99132799999999999</v>
      </c>
      <c r="E1555">
        <v>1</v>
      </c>
    </row>
    <row r="1556" spans="1:5" x14ac:dyDescent="0.3">
      <c r="A1556" t="s">
        <v>1832</v>
      </c>
      <c r="B1556">
        <v>65590.080000000002</v>
      </c>
      <c r="C1556">
        <v>17</v>
      </c>
      <c r="D1556">
        <v>1</v>
      </c>
      <c r="E1556" t="s">
        <v>1414</v>
      </c>
    </row>
    <row r="1557" spans="1:5" x14ac:dyDescent="0.3">
      <c r="A1557" t="s">
        <v>1833</v>
      </c>
      <c r="B1557">
        <v>109180.69</v>
      </c>
      <c r="C1557">
        <v>17</v>
      </c>
      <c r="D1557">
        <v>1</v>
      </c>
      <c r="E1557" t="s">
        <v>1414</v>
      </c>
    </row>
    <row r="1558" spans="1:5" x14ac:dyDescent="0.3">
      <c r="A1558" t="s">
        <v>1586</v>
      </c>
      <c r="B1558">
        <v>-48476.45</v>
      </c>
      <c r="C1558">
        <v>0</v>
      </c>
      <c r="D1558">
        <v>0.98179000000000005</v>
      </c>
      <c r="E1558">
        <v>0</v>
      </c>
    </row>
    <row r="1559" spans="1:5" x14ac:dyDescent="0.3">
      <c r="A1559" t="s">
        <v>591</v>
      </c>
      <c r="B1559">
        <v>27751.43</v>
      </c>
      <c r="C1559">
        <v>20</v>
      </c>
      <c r="D1559">
        <v>0.99475000000000002</v>
      </c>
      <c r="E1559">
        <v>1</v>
      </c>
    </row>
    <row r="1560" spans="1:5" x14ac:dyDescent="0.3">
      <c r="A1560" t="s">
        <v>882</v>
      </c>
      <c r="B1560">
        <v>-69539.08</v>
      </c>
      <c r="C1560">
        <v>14</v>
      </c>
      <c r="D1560">
        <v>0.99829100000000004</v>
      </c>
      <c r="E1560">
        <v>0.52231300000000003</v>
      </c>
    </row>
    <row r="1561" spans="1:5" x14ac:dyDescent="0.3">
      <c r="A1561" t="s">
        <v>1989</v>
      </c>
      <c r="B1561">
        <v>16636.490000000002</v>
      </c>
      <c r="C1561">
        <v>30</v>
      </c>
      <c r="D1561">
        <v>0.97735799999999995</v>
      </c>
      <c r="E1561" t="s">
        <v>1414</v>
      </c>
    </row>
    <row r="1562" spans="1:5" x14ac:dyDescent="0.3">
      <c r="A1562" t="s">
        <v>960</v>
      </c>
      <c r="B1562">
        <v>50795.26</v>
      </c>
      <c r="C1562">
        <v>22</v>
      </c>
      <c r="D1562">
        <v>0.99713799999999997</v>
      </c>
      <c r="E1562">
        <v>1</v>
      </c>
    </row>
    <row r="1563" spans="1:5" x14ac:dyDescent="0.3">
      <c r="A1563" t="s">
        <v>279</v>
      </c>
      <c r="B1563">
        <v>32112.1</v>
      </c>
      <c r="C1563">
        <v>13</v>
      </c>
      <c r="D1563">
        <v>0.99029900000000004</v>
      </c>
      <c r="E1563">
        <v>0.54130900000000004</v>
      </c>
    </row>
    <row r="1564" spans="1:5" x14ac:dyDescent="0.3">
      <c r="A1564" t="s">
        <v>1834</v>
      </c>
      <c r="B1564">
        <v>20580.8</v>
      </c>
      <c r="C1564">
        <v>15</v>
      </c>
      <c r="D1564">
        <v>1</v>
      </c>
      <c r="E1564" t="s">
        <v>1414</v>
      </c>
    </row>
    <row r="1565" spans="1:5" x14ac:dyDescent="0.3">
      <c r="A1565" t="s">
        <v>2168</v>
      </c>
      <c r="B1565">
        <v>9651.67</v>
      </c>
      <c r="C1565">
        <v>5</v>
      </c>
      <c r="D1565">
        <v>1</v>
      </c>
      <c r="E1565" t="s">
        <v>1414</v>
      </c>
    </row>
    <row r="1566" spans="1:5" x14ac:dyDescent="0.3">
      <c r="A1566" t="s">
        <v>2169</v>
      </c>
      <c r="B1566">
        <v>85857.89</v>
      </c>
      <c r="C1566">
        <v>9</v>
      </c>
      <c r="D1566" t="s">
        <v>1414</v>
      </c>
      <c r="E1566" t="s">
        <v>1414</v>
      </c>
    </row>
    <row r="1567" spans="1:5" x14ac:dyDescent="0.3">
      <c r="A1567" t="s">
        <v>883</v>
      </c>
      <c r="B1567">
        <v>199440.32</v>
      </c>
      <c r="C1567">
        <v>21</v>
      </c>
      <c r="D1567">
        <v>1</v>
      </c>
      <c r="E1567">
        <v>0.92028600000000005</v>
      </c>
    </row>
    <row r="1568" spans="1:5" x14ac:dyDescent="0.3">
      <c r="A1568" t="s">
        <v>664</v>
      </c>
      <c r="B1568">
        <v>110809.78</v>
      </c>
      <c r="C1568">
        <v>22</v>
      </c>
      <c r="D1568">
        <v>0.99581699999999995</v>
      </c>
      <c r="E1568">
        <v>0.88067700000000004</v>
      </c>
    </row>
    <row r="1569" spans="1:5" x14ac:dyDescent="0.3">
      <c r="A1569" t="s">
        <v>1990</v>
      </c>
      <c r="B1569">
        <v>63869.09</v>
      </c>
      <c r="C1569">
        <v>14</v>
      </c>
      <c r="D1569">
        <v>1</v>
      </c>
      <c r="E1569" t="s">
        <v>1414</v>
      </c>
    </row>
    <row r="1570" spans="1:5" x14ac:dyDescent="0.3">
      <c r="A1570" t="s">
        <v>1112</v>
      </c>
      <c r="B1570">
        <v>-8518.8200000000106</v>
      </c>
      <c r="C1570">
        <v>14</v>
      </c>
      <c r="D1570">
        <v>0.99217900000000003</v>
      </c>
      <c r="E1570">
        <v>0</v>
      </c>
    </row>
    <row r="1571" spans="1:5" x14ac:dyDescent="0.3">
      <c r="A1571" t="s">
        <v>1587</v>
      </c>
      <c r="B1571">
        <v>104855.63</v>
      </c>
      <c r="C1571">
        <v>17</v>
      </c>
      <c r="D1571">
        <v>1</v>
      </c>
      <c r="E1571" t="s">
        <v>1414</v>
      </c>
    </row>
    <row r="1572" spans="1:5" x14ac:dyDescent="0.3">
      <c r="A1572" t="s">
        <v>1191</v>
      </c>
      <c r="B1572">
        <v>-23587.38</v>
      </c>
      <c r="C1572">
        <v>18</v>
      </c>
      <c r="D1572">
        <v>0.97733800000000004</v>
      </c>
      <c r="E1572">
        <v>0.33187800000000001</v>
      </c>
    </row>
    <row r="1573" spans="1:5" x14ac:dyDescent="0.3">
      <c r="A1573" t="s">
        <v>132</v>
      </c>
      <c r="B1573">
        <v>49991.199999999997</v>
      </c>
      <c r="C1573">
        <v>85</v>
      </c>
      <c r="D1573">
        <v>0.99006799999999995</v>
      </c>
      <c r="E1573" t="s">
        <v>1414</v>
      </c>
    </row>
    <row r="1574" spans="1:5" x14ac:dyDescent="0.3">
      <c r="A1574" t="s">
        <v>1835</v>
      </c>
      <c r="B1574">
        <v>24111.86</v>
      </c>
      <c r="C1574">
        <v>14</v>
      </c>
      <c r="D1574">
        <v>0.99692000000000003</v>
      </c>
      <c r="E1574">
        <v>1</v>
      </c>
    </row>
    <row r="1575" spans="1:5" x14ac:dyDescent="0.3">
      <c r="A1575" t="s">
        <v>1836</v>
      </c>
      <c r="B1575">
        <v>5068.18</v>
      </c>
      <c r="C1575">
        <v>34</v>
      </c>
      <c r="D1575">
        <v>0.97116800000000003</v>
      </c>
      <c r="E1575">
        <v>0.41018399999999999</v>
      </c>
    </row>
    <row r="1576" spans="1:5" x14ac:dyDescent="0.3">
      <c r="A1576" t="s">
        <v>1588</v>
      </c>
      <c r="B1576">
        <v>88153.55</v>
      </c>
      <c r="C1576">
        <v>17</v>
      </c>
      <c r="D1576">
        <v>1</v>
      </c>
      <c r="E1576">
        <v>1</v>
      </c>
    </row>
    <row r="1577" spans="1:5" x14ac:dyDescent="0.3">
      <c r="A1577" t="s">
        <v>437</v>
      </c>
      <c r="B1577">
        <v>-225366.06</v>
      </c>
      <c r="C1577">
        <v>20</v>
      </c>
      <c r="D1577">
        <v>0.99462700000000004</v>
      </c>
      <c r="E1577">
        <v>0.87559399999999998</v>
      </c>
    </row>
    <row r="1578" spans="1:5" x14ac:dyDescent="0.3">
      <c r="A1578" t="s">
        <v>512</v>
      </c>
      <c r="B1578">
        <v>15505.34</v>
      </c>
      <c r="C1578">
        <v>41</v>
      </c>
      <c r="D1578">
        <v>0.99078900000000003</v>
      </c>
      <c r="E1578">
        <v>0.42884499999999998</v>
      </c>
    </row>
    <row r="1579" spans="1:5" x14ac:dyDescent="0.3">
      <c r="A1579" t="s">
        <v>2170</v>
      </c>
      <c r="B1579">
        <v>38597.35</v>
      </c>
      <c r="C1579">
        <v>8</v>
      </c>
      <c r="D1579">
        <v>1</v>
      </c>
      <c r="E1579" t="s">
        <v>1414</v>
      </c>
    </row>
    <row r="1580" spans="1:5" x14ac:dyDescent="0.3">
      <c r="A1580" t="s">
        <v>797</v>
      </c>
      <c r="B1580">
        <v>59372.01</v>
      </c>
      <c r="C1580">
        <v>27</v>
      </c>
      <c r="D1580">
        <v>0.994533</v>
      </c>
      <c r="E1580">
        <v>0.90879799999999999</v>
      </c>
    </row>
    <row r="1581" spans="1:5" x14ac:dyDescent="0.3">
      <c r="A1581" t="s">
        <v>1837</v>
      </c>
      <c r="B1581">
        <v>-18837.599999999999</v>
      </c>
      <c r="C1581">
        <v>17</v>
      </c>
      <c r="D1581">
        <v>0.90141899999999997</v>
      </c>
      <c r="E1581" t="s">
        <v>1414</v>
      </c>
    </row>
    <row r="1582" spans="1:5" x14ac:dyDescent="0.3">
      <c r="A1582" t="s">
        <v>1589</v>
      </c>
      <c r="B1582">
        <v>-49074.239999999998</v>
      </c>
      <c r="C1582">
        <v>16</v>
      </c>
      <c r="D1582">
        <v>0.98663699999999999</v>
      </c>
      <c r="E1582">
        <v>0.32703399999999999</v>
      </c>
    </row>
    <row r="1583" spans="1:5" x14ac:dyDescent="0.3">
      <c r="A1583" t="s">
        <v>592</v>
      </c>
      <c r="B1583">
        <v>-29509.4</v>
      </c>
      <c r="C1583">
        <v>20</v>
      </c>
      <c r="D1583">
        <v>0.95111500000000004</v>
      </c>
      <c r="E1583">
        <v>0.94664800000000004</v>
      </c>
    </row>
    <row r="1584" spans="1:5" x14ac:dyDescent="0.3">
      <c r="A1584" t="s">
        <v>798</v>
      </c>
      <c r="B1584">
        <v>145864.06</v>
      </c>
      <c r="C1584">
        <v>20</v>
      </c>
      <c r="D1584">
        <v>0.99719000000000002</v>
      </c>
      <c r="E1584">
        <v>0.91347999999999996</v>
      </c>
    </row>
    <row r="1585" spans="1:5" x14ac:dyDescent="0.3">
      <c r="A1585" t="s">
        <v>280</v>
      </c>
      <c r="B1585">
        <v>26845.97</v>
      </c>
      <c r="C1585">
        <v>19</v>
      </c>
      <c r="D1585">
        <v>0.99769600000000003</v>
      </c>
      <c r="E1585" t="s">
        <v>1414</v>
      </c>
    </row>
    <row r="1586" spans="1:5" x14ac:dyDescent="0.3">
      <c r="A1586" t="s">
        <v>1838</v>
      </c>
      <c r="B1586">
        <v>-17601.37</v>
      </c>
      <c r="C1586">
        <v>16</v>
      </c>
      <c r="D1586">
        <v>0.98734599999999995</v>
      </c>
      <c r="E1586">
        <v>0.55141300000000004</v>
      </c>
    </row>
    <row r="1587" spans="1:5" x14ac:dyDescent="0.3">
      <c r="A1587" t="s">
        <v>665</v>
      </c>
      <c r="B1587">
        <v>18837.740000000002</v>
      </c>
      <c r="C1587">
        <v>21</v>
      </c>
      <c r="D1587">
        <v>0.99960899999999997</v>
      </c>
      <c r="E1587">
        <v>1</v>
      </c>
    </row>
    <row r="1588" spans="1:5" x14ac:dyDescent="0.3">
      <c r="A1588" t="s">
        <v>67</v>
      </c>
      <c r="B1588">
        <v>-102545.24</v>
      </c>
      <c r="C1588">
        <v>17</v>
      </c>
      <c r="D1588">
        <v>0.93053399999999997</v>
      </c>
      <c r="E1588">
        <v>0.65954299999999999</v>
      </c>
    </row>
    <row r="1589" spans="1:5" x14ac:dyDescent="0.3">
      <c r="A1589" t="s">
        <v>1991</v>
      </c>
      <c r="B1589">
        <v>24492.799999999999</v>
      </c>
      <c r="C1589">
        <v>40</v>
      </c>
      <c r="D1589">
        <v>1</v>
      </c>
      <c r="E1589" t="s">
        <v>1414</v>
      </c>
    </row>
    <row r="1590" spans="1:5" x14ac:dyDescent="0.3">
      <c r="A1590" t="s">
        <v>1839</v>
      </c>
      <c r="B1590">
        <v>34018.769999999997</v>
      </c>
      <c r="C1590">
        <v>13</v>
      </c>
      <c r="D1590">
        <v>1</v>
      </c>
      <c r="E1590" t="s">
        <v>1414</v>
      </c>
    </row>
    <row r="1591" spans="1:5" x14ac:dyDescent="0.3">
      <c r="A1591" t="s">
        <v>281</v>
      </c>
      <c r="B1591">
        <v>54341.06</v>
      </c>
      <c r="C1591">
        <v>25</v>
      </c>
      <c r="D1591">
        <v>0.99993399999999999</v>
      </c>
      <c r="E1591">
        <v>1</v>
      </c>
    </row>
    <row r="1592" spans="1:5" x14ac:dyDescent="0.3">
      <c r="A1592" t="s">
        <v>68</v>
      </c>
      <c r="B1592">
        <v>35159.589999999997</v>
      </c>
      <c r="C1592">
        <v>26</v>
      </c>
      <c r="D1592">
        <v>0.99985800000000002</v>
      </c>
      <c r="E1592">
        <v>1</v>
      </c>
    </row>
    <row r="1593" spans="1:5" x14ac:dyDescent="0.3">
      <c r="A1593" t="s">
        <v>731</v>
      </c>
      <c r="B1593">
        <v>56015.28</v>
      </c>
      <c r="C1593">
        <v>23</v>
      </c>
      <c r="D1593">
        <v>0.96613199999999999</v>
      </c>
      <c r="E1593">
        <v>0.55916600000000005</v>
      </c>
    </row>
    <row r="1594" spans="1:5" x14ac:dyDescent="0.3">
      <c r="A1594" t="s">
        <v>1590</v>
      </c>
      <c r="B1594">
        <v>42214.15</v>
      </c>
      <c r="C1594">
        <v>11</v>
      </c>
      <c r="D1594">
        <v>1</v>
      </c>
      <c r="E1594" t="s">
        <v>1414</v>
      </c>
    </row>
    <row r="1595" spans="1:5" x14ac:dyDescent="0.3">
      <c r="A1595" t="s">
        <v>2171</v>
      </c>
      <c r="B1595">
        <v>20824.490000000002</v>
      </c>
      <c r="C1595">
        <v>7</v>
      </c>
      <c r="D1595">
        <v>1</v>
      </c>
      <c r="E1595" t="s">
        <v>1414</v>
      </c>
    </row>
    <row r="1596" spans="1:5" x14ac:dyDescent="0.3">
      <c r="A1596" t="s">
        <v>1840</v>
      </c>
      <c r="B1596">
        <v>38411.449999999997</v>
      </c>
      <c r="C1596">
        <v>8</v>
      </c>
      <c r="D1596">
        <v>1</v>
      </c>
      <c r="E1596" t="s">
        <v>1414</v>
      </c>
    </row>
    <row r="1597" spans="1:5" x14ac:dyDescent="0.3">
      <c r="A1597" t="s">
        <v>1028</v>
      </c>
      <c r="B1597">
        <v>-37046.129999999997</v>
      </c>
      <c r="C1597">
        <v>21</v>
      </c>
      <c r="D1597">
        <v>1</v>
      </c>
      <c r="E1597">
        <v>0.11738800000000001</v>
      </c>
    </row>
    <row r="1598" spans="1:5" x14ac:dyDescent="0.3">
      <c r="A1598" t="s">
        <v>1841</v>
      </c>
      <c r="B1598">
        <v>321.45</v>
      </c>
      <c r="C1598">
        <v>21</v>
      </c>
      <c r="D1598">
        <v>0.93900300000000003</v>
      </c>
      <c r="E1598">
        <v>1</v>
      </c>
    </row>
    <row r="1599" spans="1:5" x14ac:dyDescent="0.3">
      <c r="A1599" t="s">
        <v>1842</v>
      </c>
      <c r="B1599">
        <v>19150.560000000001</v>
      </c>
      <c r="C1599">
        <v>17</v>
      </c>
      <c r="D1599">
        <v>0.95186099999999996</v>
      </c>
      <c r="E1599">
        <v>0.88668100000000005</v>
      </c>
    </row>
    <row r="1600" spans="1:5" x14ac:dyDescent="0.3">
      <c r="A1600" t="s">
        <v>1992</v>
      </c>
      <c r="B1600">
        <v>30515.61</v>
      </c>
      <c r="C1600">
        <v>15</v>
      </c>
      <c r="D1600">
        <v>1</v>
      </c>
      <c r="E1600" t="s">
        <v>1414</v>
      </c>
    </row>
    <row r="1601" spans="1:5" x14ac:dyDescent="0.3">
      <c r="A1601" t="s">
        <v>2172</v>
      </c>
      <c r="B1601">
        <v>-59086.29</v>
      </c>
      <c r="C1601">
        <v>1</v>
      </c>
      <c r="D1601">
        <v>0.84558500000000003</v>
      </c>
      <c r="E1601">
        <v>0.46722999999999998</v>
      </c>
    </row>
    <row r="1602" spans="1:5" x14ac:dyDescent="0.3">
      <c r="A1602" t="s">
        <v>366</v>
      </c>
      <c r="B1602">
        <v>62744.2</v>
      </c>
      <c r="C1602">
        <v>105</v>
      </c>
      <c r="D1602">
        <v>0.99638899999999997</v>
      </c>
      <c r="E1602" t="s">
        <v>1414</v>
      </c>
    </row>
    <row r="1603" spans="1:5" x14ac:dyDescent="0.3">
      <c r="A1603" t="s">
        <v>1843</v>
      </c>
      <c r="B1603">
        <v>-6336</v>
      </c>
      <c r="C1603">
        <v>32</v>
      </c>
      <c r="D1603">
        <v>1</v>
      </c>
      <c r="E1603" t="s">
        <v>1414</v>
      </c>
    </row>
    <row r="1604" spans="1:5" x14ac:dyDescent="0.3">
      <c r="A1604" t="s">
        <v>961</v>
      </c>
      <c r="B1604">
        <v>-201875.64</v>
      </c>
      <c r="C1604">
        <v>3</v>
      </c>
      <c r="D1604">
        <v>1</v>
      </c>
      <c r="E1604">
        <v>0.60796899999999998</v>
      </c>
    </row>
    <row r="1605" spans="1:5" x14ac:dyDescent="0.3">
      <c r="A1605" t="s">
        <v>1113</v>
      </c>
      <c r="B1605">
        <v>-180078.92</v>
      </c>
      <c r="C1605">
        <v>7</v>
      </c>
      <c r="D1605">
        <v>1</v>
      </c>
      <c r="E1605">
        <v>0.37878299999999998</v>
      </c>
    </row>
    <row r="1606" spans="1:5" x14ac:dyDescent="0.3">
      <c r="A1606" t="s">
        <v>1591</v>
      </c>
      <c r="B1606">
        <v>-63996.79</v>
      </c>
      <c r="C1606">
        <v>0</v>
      </c>
      <c r="D1606">
        <v>1</v>
      </c>
      <c r="E1606">
        <v>0.71365100000000004</v>
      </c>
    </row>
    <row r="1607" spans="1:5" x14ac:dyDescent="0.3">
      <c r="A1607" t="s">
        <v>1993</v>
      </c>
      <c r="B1607">
        <v>44895.34</v>
      </c>
      <c r="C1607">
        <v>10</v>
      </c>
      <c r="D1607">
        <v>0.99671100000000001</v>
      </c>
      <c r="E1607" t="s">
        <v>1414</v>
      </c>
    </row>
    <row r="1608" spans="1:5" x14ac:dyDescent="0.3">
      <c r="A1608" t="s">
        <v>666</v>
      </c>
      <c r="B1608">
        <v>33029.480000000003</v>
      </c>
      <c r="C1608">
        <v>17</v>
      </c>
      <c r="D1608">
        <v>0.98316300000000001</v>
      </c>
      <c r="E1608">
        <v>1</v>
      </c>
    </row>
    <row r="1609" spans="1:5" x14ac:dyDescent="0.3">
      <c r="A1609" t="s">
        <v>367</v>
      </c>
      <c r="B1609">
        <v>43172.75</v>
      </c>
      <c r="C1609">
        <v>19</v>
      </c>
      <c r="D1609">
        <v>0.97807999999999995</v>
      </c>
      <c r="E1609">
        <v>0.65090899999999996</v>
      </c>
    </row>
    <row r="1610" spans="1:5" x14ac:dyDescent="0.3">
      <c r="A1610" t="s">
        <v>1592</v>
      </c>
      <c r="B1610">
        <v>39681.78</v>
      </c>
      <c r="C1610">
        <v>12</v>
      </c>
      <c r="D1610">
        <v>0.99273100000000003</v>
      </c>
      <c r="E1610">
        <v>1</v>
      </c>
    </row>
    <row r="1611" spans="1:5" x14ac:dyDescent="0.3">
      <c r="A1611" t="s">
        <v>1192</v>
      </c>
      <c r="B1611">
        <v>82195.39</v>
      </c>
      <c r="C1611">
        <v>25</v>
      </c>
      <c r="D1611">
        <v>1</v>
      </c>
      <c r="E1611">
        <v>1</v>
      </c>
    </row>
    <row r="1612" spans="1:5" x14ac:dyDescent="0.3">
      <c r="A1612" t="s">
        <v>368</v>
      </c>
      <c r="B1612">
        <v>-152285.4</v>
      </c>
      <c r="C1612">
        <v>23</v>
      </c>
      <c r="D1612">
        <v>0.99961</v>
      </c>
      <c r="E1612">
        <v>0.36271300000000001</v>
      </c>
    </row>
    <row r="1613" spans="1:5" x14ac:dyDescent="0.3">
      <c r="A1613" t="s">
        <v>1844</v>
      </c>
      <c r="B1613">
        <v>-6428.5</v>
      </c>
      <c r="C1613">
        <v>10</v>
      </c>
      <c r="D1613">
        <v>1</v>
      </c>
      <c r="E1613" t="s">
        <v>1414</v>
      </c>
    </row>
    <row r="1614" spans="1:5" x14ac:dyDescent="0.3">
      <c r="A1614" t="s">
        <v>1593</v>
      </c>
      <c r="B1614">
        <v>8330</v>
      </c>
      <c r="C1614">
        <v>10</v>
      </c>
      <c r="D1614">
        <v>0.97426900000000005</v>
      </c>
      <c r="E1614">
        <v>0.860819</v>
      </c>
    </row>
    <row r="1615" spans="1:5" x14ac:dyDescent="0.3">
      <c r="A1615" t="s">
        <v>2173</v>
      </c>
      <c r="B1615">
        <v>28287</v>
      </c>
      <c r="C1615">
        <v>4</v>
      </c>
      <c r="D1615" t="s">
        <v>1414</v>
      </c>
      <c r="E1615" t="s">
        <v>1414</v>
      </c>
    </row>
    <row r="1616" spans="1:5" x14ac:dyDescent="0.3">
      <c r="A1616" t="s">
        <v>282</v>
      </c>
      <c r="B1616">
        <v>-31054.57</v>
      </c>
      <c r="C1616">
        <v>70</v>
      </c>
      <c r="D1616">
        <v>0.97971799999999998</v>
      </c>
      <c r="E1616">
        <v>0.248974</v>
      </c>
    </row>
    <row r="1617" spans="1:5" x14ac:dyDescent="0.3">
      <c r="A1617" t="s">
        <v>1594</v>
      </c>
      <c r="B1617">
        <v>-35307.390000000101</v>
      </c>
      <c r="C1617">
        <v>19</v>
      </c>
      <c r="D1617">
        <v>0.96677100000000005</v>
      </c>
      <c r="E1617" t="s">
        <v>1414</v>
      </c>
    </row>
    <row r="1618" spans="1:5" x14ac:dyDescent="0.3">
      <c r="A1618" t="s">
        <v>799</v>
      </c>
      <c r="B1618">
        <v>21358.26</v>
      </c>
      <c r="C1618">
        <v>18</v>
      </c>
      <c r="D1618">
        <v>1</v>
      </c>
      <c r="E1618">
        <v>0.78929300000000002</v>
      </c>
    </row>
    <row r="1619" spans="1:5" x14ac:dyDescent="0.3">
      <c r="A1619" t="s">
        <v>2174</v>
      </c>
      <c r="B1619">
        <v>68194.34</v>
      </c>
      <c r="C1619">
        <v>17</v>
      </c>
      <c r="D1619">
        <v>0.99760000000000004</v>
      </c>
      <c r="E1619">
        <v>0.93615000000000004</v>
      </c>
    </row>
    <row r="1620" spans="1:5" x14ac:dyDescent="0.3">
      <c r="A1620" t="s">
        <v>800</v>
      </c>
      <c r="B1620">
        <v>109945.49</v>
      </c>
      <c r="C1620">
        <v>15</v>
      </c>
      <c r="D1620">
        <v>1</v>
      </c>
      <c r="E1620" t="s">
        <v>1414</v>
      </c>
    </row>
    <row r="1621" spans="1:5" x14ac:dyDescent="0.3">
      <c r="A1621" t="s">
        <v>513</v>
      </c>
      <c r="B1621">
        <v>382264.45</v>
      </c>
      <c r="C1621">
        <v>33</v>
      </c>
      <c r="D1621">
        <v>0.99976799999999999</v>
      </c>
      <c r="E1621" t="s">
        <v>1414</v>
      </c>
    </row>
    <row r="1622" spans="1:5" x14ac:dyDescent="0.3">
      <c r="A1622" t="s">
        <v>801</v>
      </c>
      <c r="B1622">
        <v>80295.509999999995</v>
      </c>
      <c r="C1622">
        <v>26</v>
      </c>
      <c r="D1622">
        <v>0.99827100000000002</v>
      </c>
      <c r="E1622">
        <v>1</v>
      </c>
    </row>
    <row r="1623" spans="1:5" x14ac:dyDescent="0.3">
      <c r="A1623" t="s">
        <v>283</v>
      </c>
      <c r="B1623">
        <v>189164.03</v>
      </c>
      <c r="C1623">
        <v>23</v>
      </c>
      <c r="D1623">
        <v>1</v>
      </c>
      <c r="E1623">
        <v>1</v>
      </c>
    </row>
    <row r="1624" spans="1:5" x14ac:dyDescent="0.3">
      <c r="A1624" t="s">
        <v>1114</v>
      </c>
      <c r="B1624">
        <v>-31538.13</v>
      </c>
      <c r="C1624">
        <v>20</v>
      </c>
      <c r="D1624">
        <v>0.92238399999999998</v>
      </c>
      <c r="E1624">
        <v>0.38595099999999999</v>
      </c>
    </row>
    <row r="1625" spans="1:5" x14ac:dyDescent="0.3">
      <c r="A1625" t="s">
        <v>1595</v>
      </c>
      <c r="B1625">
        <v>30806.94</v>
      </c>
      <c r="C1625">
        <v>17</v>
      </c>
      <c r="D1625">
        <v>1</v>
      </c>
      <c r="E1625" t="s">
        <v>1414</v>
      </c>
    </row>
    <row r="1626" spans="1:5" x14ac:dyDescent="0.3">
      <c r="A1626" t="s">
        <v>1994</v>
      </c>
      <c r="B1626">
        <v>-23489.439999999999</v>
      </c>
      <c r="C1626">
        <v>24</v>
      </c>
      <c r="D1626">
        <v>0.93293899999999996</v>
      </c>
      <c r="E1626">
        <v>0.50214899999999996</v>
      </c>
    </row>
    <row r="1627" spans="1:5" x14ac:dyDescent="0.3">
      <c r="A1627" t="s">
        <v>1193</v>
      </c>
      <c r="B1627">
        <v>-46972.91</v>
      </c>
      <c r="C1627">
        <v>18</v>
      </c>
      <c r="D1627">
        <v>0.94260100000000002</v>
      </c>
      <c r="E1627">
        <v>0.50736099999999995</v>
      </c>
    </row>
    <row r="1628" spans="1:5" x14ac:dyDescent="0.3">
      <c r="A1628" t="s">
        <v>1596</v>
      </c>
      <c r="B1628">
        <v>-17779.29</v>
      </c>
      <c r="C1628">
        <v>60</v>
      </c>
      <c r="D1628">
        <v>0.96510200000000002</v>
      </c>
      <c r="E1628">
        <v>0.48645500000000003</v>
      </c>
    </row>
    <row r="1629" spans="1:5" x14ac:dyDescent="0.3">
      <c r="A1629" t="s">
        <v>438</v>
      </c>
      <c r="B1629">
        <v>259778.63</v>
      </c>
      <c r="C1629">
        <v>22</v>
      </c>
      <c r="D1629">
        <v>1</v>
      </c>
      <c r="E1629">
        <v>0.98481399999999997</v>
      </c>
    </row>
    <row r="1630" spans="1:5" x14ac:dyDescent="0.3">
      <c r="A1630" t="s">
        <v>369</v>
      </c>
      <c r="B1630">
        <v>42614.45</v>
      </c>
      <c r="C1630">
        <v>15</v>
      </c>
      <c r="D1630">
        <v>0.99141199999999996</v>
      </c>
      <c r="E1630">
        <v>0.70056300000000005</v>
      </c>
    </row>
    <row r="1631" spans="1:5" x14ac:dyDescent="0.3">
      <c r="A1631" t="s">
        <v>1845</v>
      </c>
      <c r="B1631">
        <v>-75545.09</v>
      </c>
      <c r="C1631">
        <v>11</v>
      </c>
      <c r="D1631">
        <v>0.99801099999999998</v>
      </c>
      <c r="E1631">
        <v>0.679172</v>
      </c>
    </row>
    <row r="1632" spans="1:5" x14ac:dyDescent="0.3">
      <c r="A1632" t="s">
        <v>962</v>
      </c>
      <c r="B1632">
        <v>8069.92</v>
      </c>
      <c r="C1632">
        <v>100</v>
      </c>
      <c r="D1632">
        <v>0.98177099999999995</v>
      </c>
      <c r="E1632">
        <v>0.645984</v>
      </c>
    </row>
    <row r="1633" spans="1:5" x14ac:dyDescent="0.3">
      <c r="A1633" t="s">
        <v>1115</v>
      </c>
      <c r="B1633">
        <v>161516.47</v>
      </c>
      <c r="C1633">
        <v>21</v>
      </c>
      <c r="D1633">
        <v>0.999695</v>
      </c>
      <c r="E1633">
        <v>1</v>
      </c>
    </row>
    <row r="1634" spans="1:5" x14ac:dyDescent="0.3">
      <c r="A1634" t="s">
        <v>284</v>
      </c>
      <c r="B1634">
        <v>10794.84</v>
      </c>
      <c r="C1634">
        <v>92</v>
      </c>
      <c r="D1634">
        <v>0.98816199999999998</v>
      </c>
      <c r="E1634">
        <v>0.90296399999999999</v>
      </c>
    </row>
    <row r="1635" spans="1:5" x14ac:dyDescent="0.3">
      <c r="A1635" t="s">
        <v>732</v>
      </c>
      <c r="B1635">
        <v>-22937.97</v>
      </c>
      <c r="C1635">
        <v>16</v>
      </c>
      <c r="D1635">
        <v>1</v>
      </c>
      <c r="E1635" t="s">
        <v>1414</v>
      </c>
    </row>
    <row r="1636" spans="1:5" x14ac:dyDescent="0.3">
      <c r="A1636" t="s">
        <v>1597</v>
      </c>
      <c r="B1636">
        <v>44006.96</v>
      </c>
      <c r="C1636">
        <v>15</v>
      </c>
      <c r="D1636">
        <v>0.96721199999999996</v>
      </c>
      <c r="E1636">
        <v>1</v>
      </c>
    </row>
    <row r="1637" spans="1:5" x14ac:dyDescent="0.3">
      <c r="A1637" t="s">
        <v>285</v>
      </c>
      <c r="B1637">
        <v>16450.39</v>
      </c>
      <c r="C1637">
        <v>20</v>
      </c>
      <c r="D1637">
        <v>0.99094300000000002</v>
      </c>
      <c r="E1637">
        <v>0.98858000000000001</v>
      </c>
    </row>
    <row r="1638" spans="1:5" x14ac:dyDescent="0.3">
      <c r="A1638" t="s">
        <v>884</v>
      </c>
      <c r="B1638">
        <v>-57028.62</v>
      </c>
      <c r="C1638">
        <v>17</v>
      </c>
      <c r="D1638">
        <v>0.99383999999999995</v>
      </c>
      <c r="E1638">
        <v>1</v>
      </c>
    </row>
    <row r="1639" spans="1:5" x14ac:dyDescent="0.3">
      <c r="A1639" t="s">
        <v>1598</v>
      </c>
      <c r="B1639">
        <v>-38479.980000000003</v>
      </c>
      <c r="C1639">
        <v>20</v>
      </c>
      <c r="D1639">
        <v>0.890957</v>
      </c>
      <c r="E1639">
        <v>0.30447200000000002</v>
      </c>
    </row>
    <row r="1640" spans="1:5" x14ac:dyDescent="0.3">
      <c r="A1640" t="s">
        <v>514</v>
      </c>
      <c r="B1640">
        <v>26902.05</v>
      </c>
      <c r="C1640">
        <v>24</v>
      </c>
      <c r="D1640">
        <v>0.98310799999999998</v>
      </c>
      <c r="E1640">
        <v>0.84059099999999998</v>
      </c>
    </row>
    <row r="1641" spans="1:5" x14ac:dyDescent="0.3">
      <c r="A1641" t="s">
        <v>2175</v>
      </c>
      <c r="B1641">
        <v>24800</v>
      </c>
      <c r="C1641">
        <v>8</v>
      </c>
      <c r="D1641" t="s">
        <v>1414</v>
      </c>
      <c r="E1641" t="s">
        <v>1414</v>
      </c>
    </row>
    <row r="1642" spans="1:5" x14ac:dyDescent="0.3">
      <c r="A1642" t="s">
        <v>2176</v>
      </c>
      <c r="B1642">
        <v>-45859.55</v>
      </c>
      <c r="C1642">
        <v>9</v>
      </c>
      <c r="D1642">
        <v>0.93653200000000003</v>
      </c>
      <c r="E1642">
        <v>1</v>
      </c>
    </row>
    <row r="1643" spans="1:5" x14ac:dyDescent="0.3">
      <c r="A1643" t="s">
        <v>2177</v>
      </c>
      <c r="B1643">
        <v>0</v>
      </c>
      <c r="C1643">
        <v>0</v>
      </c>
      <c r="D1643" t="s">
        <v>1414</v>
      </c>
      <c r="E1643" t="s">
        <v>1414</v>
      </c>
    </row>
    <row r="1644" spans="1:5" x14ac:dyDescent="0.3">
      <c r="A1644" t="s">
        <v>2178</v>
      </c>
      <c r="B1644">
        <v>19039.099999999999</v>
      </c>
      <c r="C1644">
        <v>5</v>
      </c>
      <c r="D1644">
        <v>1</v>
      </c>
      <c r="E1644" t="s">
        <v>1414</v>
      </c>
    </row>
    <row r="1645" spans="1:5" x14ac:dyDescent="0.3">
      <c r="A1645" t="s">
        <v>1846</v>
      </c>
      <c r="B1645">
        <v>17964.62</v>
      </c>
      <c r="C1645">
        <v>19</v>
      </c>
      <c r="D1645">
        <v>0.99849699999999997</v>
      </c>
      <c r="E1645">
        <v>1</v>
      </c>
    </row>
    <row r="1646" spans="1:5" x14ac:dyDescent="0.3">
      <c r="A1646" t="s">
        <v>133</v>
      </c>
      <c r="B1646">
        <v>86793.2</v>
      </c>
      <c r="C1646">
        <v>15</v>
      </c>
      <c r="D1646">
        <v>0.99780400000000002</v>
      </c>
      <c r="E1646">
        <v>0.106125</v>
      </c>
    </row>
    <row r="1647" spans="1:5" x14ac:dyDescent="0.3">
      <c r="A1647" t="s">
        <v>963</v>
      </c>
      <c r="B1647">
        <v>24246.35</v>
      </c>
      <c r="C1647">
        <v>84</v>
      </c>
      <c r="D1647">
        <v>0.96890600000000004</v>
      </c>
      <c r="E1647">
        <v>0.43901200000000001</v>
      </c>
    </row>
    <row r="1648" spans="1:5" x14ac:dyDescent="0.3">
      <c r="A1648" t="s">
        <v>134</v>
      </c>
      <c r="B1648">
        <v>78172.800000000003</v>
      </c>
      <c r="C1648">
        <v>13</v>
      </c>
      <c r="D1648">
        <v>0.98743400000000003</v>
      </c>
      <c r="E1648">
        <v>0.239872</v>
      </c>
    </row>
    <row r="1649" spans="1:5" x14ac:dyDescent="0.3">
      <c r="A1649" t="s">
        <v>1847</v>
      </c>
      <c r="B1649">
        <v>49593.81</v>
      </c>
      <c r="C1649">
        <v>17</v>
      </c>
      <c r="D1649">
        <v>0.99561299999999997</v>
      </c>
      <c r="E1649">
        <v>0.79104200000000002</v>
      </c>
    </row>
    <row r="1650" spans="1:5" x14ac:dyDescent="0.3">
      <c r="A1650" t="s">
        <v>885</v>
      </c>
      <c r="B1650">
        <v>106511.34</v>
      </c>
      <c r="C1650">
        <v>21</v>
      </c>
      <c r="D1650">
        <v>0.99946599999999997</v>
      </c>
      <c r="E1650">
        <v>1</v>
      </c>
    </row>
    <row r="1651" spans="1:5" x14ac:dyDescent="0.3">
      <c r="A1651" t="s">
        <v>135</v>
      </c>
      <c r="B1651">
        <v>-690903.28</v>
      </c>
      <c r="C1651">
        <v>0</v>
      </c>
      <c r="D1651">
        <v>0.98721899999999996</v>
      </c>
      <c r="E1651">
        <v>0.41367199999999998</v>
      </c>
    </row>
    <row r="1652" spans="1:5" x14ac:dyDescent="0.3">
      <c r="A1652" t="s">
        <v>1599</v>
      </c>
      <c r="B1652">
        <v>176143.11</v>
      </c>
      <c r="C1652">
        <v>28</v>
      </c>
      <c r="D1652">
        <v>0.99017100000000002</v>
      </c>
      <c r="E1652">
        <v>1</v>
      </c>
    </row>
    <row r="1653" spans="1:5" x14ac:dyDescent="0.3">
      <c r="A1653" t="s">
        <v>2179</v>
      </c>
      <c r="B1653">
        <v>96027</v>
      </c>
      <c r="C1653">
        <v>8</v>
      </c>
      <c r="D1653" t="s">
        <v>1414</v>
      </c>
      <c r="E1653" t="s">
        <v>1414</v>
      </c>
    </row>
    <row r="1654" spans="1:5" x14ac:dyDescent="0.3">
      <c r="A1654" t="s">
        <v>593</v>
      </c>
      <c r="B1654">
        <v>-76907.58</v>
      </c>
      <c r="C1654">
        <v>7</v>
      </c>
      <c r="D1654">
        <v>0.97406300000000001</v>
      </c>
      <c r="E1654">
        <v>0</v>
      </c>
    </row>
    <row r="1655" spans="1:5" x14ac:dyDescent="0.3">
      <c r="A1655" t="s">
        <v>1848</v>
      </c>
      <c r="B1655">
        <v>-8185.74</v>
      </c>
      <c r="C1655">
        <v>30</v>
      </c>
      <c r="D1655">
        <v>1</v>
      </c>
      <c r="E1655" t="s">
        <v>1414</v>
      </c>
    </row>
    <row r="1656" spans="1:5" x14ac:dyDescent="0.3">
      <c r="A1656" t="s">
        <v>1600</v>
      </c>
      <c r="B1656">
        <v>39983.800000000003</v>
      </c>
      <c r="C1656">
        <v>8</v>
      </c>
      <c r="D1656">
        <v>1</v>
      </c>
      <c r="E1656" t="s">
        <v>1414</v>
      </c>
    </row>
    <row r="1657" spans="1:5" x14ac:dyDescent="0.3">
      <c r="A1657" t="s">
        <v>2180</v>
      </c>
      <c r="B1657">
        <v>31598.58</v>
      </c>
      <c r="C1657">
        <v>12</v>
      </c>
      <c r="D1657">
        <v>0.95763100000000001</v>
      </c>
      <c r="E1657">
        <v>0.69064000000000003</v>
      </c>
    </row>
    <row r="1658" spans="1:5" x14ac:dyDescent="0.3">
      <c r="A1658" t="s">
        <v>1116</v>
      </c>
      <c r="B1658">
        <v>-8209.7900000000009</v>
      </c>
      <c r="C1658">
        <v>0</v>
      </c>
      <c r="D1658">
        <v>1</v>
      </c>
      <c r="E1658" t="s">
        <v>1414</v>
      </c>
    </row>
    <row r="1659" spans="1:5" x14ac:dyDescent="0.3">
      <c r="A1659" t="s">
        <v>370</v>
      </c>
      <c r="B1659">
        <v>-71827.48</v>
      </c>
      <c r="C1659">
        <v>12</v>
      </c>
      <c r="D1659">
        <v>0.95175299999999996</v>
      </c>
      <c r="E1659" t="s">
        <v>1414</v>
      </c>
    </row>
    <row r="1660" spans="1:5" x14ac:dyDescent="0.3">
      <c r="A1660" t="s">
        <v>667</v>
      </c>
      <c r="B1660">
        <v>56941.04</v>
      </c>
      <c r="C1660">
        <v>17</v>
      </c>
      <c r="D1660">
        <v>1</v>
      </c>
      <c r="E1660">
        <v>0.98635200000000001</v>
      </c>
    </row>
    <row r="1661" spans="1:5" x14ac:dyDescent="0.3">
      <c r="A1661" t="s">
        <v>515</v>
      </c>
      <c r="B1661">
        <v>129914.29</v>
      </c>
      <c r="C1661">
        <v>16</v>
      </c>
      <c r="D1661">
        <v>1</v>
      </c>
      <c r="E1661" t="s">
        <v>1414</v>
      </c>
    </row>
    <row r="1662" spans="1:5" x14ac:dyDescent="0.3">
      <c r="A1662" t="s">
        <v>286</v>
      </c>
      <c r="B1662">
        <v>-241872.47</v>
      </c>
      <c r="C1662">
        <v>13</v>
      </c>
      <c r="D1662">
        <v>0.99935099999999999</v>
      </c>
      <c r="E1662" t="s">
        <v>1414</v>
      </c>
    </row>
    <row r="1663" spans="1:5" x14ac:dyDescent="0.3">
      <c r="A1663" t="s">
        <v>1601</v>
      </c>
      <c r="B1663">
        <v>-4232.2700000000004</v>
      </c>
      <c r="C1663">
        <v>52</v>
      </c>
      <c r="D1663">
        <v>0.96623800000000004</v>
      </c>
      <c r="E1663">
        <v>1</v>
      </c>
    </row>
    <row r="1664" spans="1:5" x14ac:dyDescent="0.3">
      <c r="A1664" t="s">
        <v>1117</v>
      </c>
      <c r="B1664">
        <v>-98319.64</v>
      </c>
      <c r="C1664">
        <v>6</v>
      </c>
      <c r="D1664">
        <v>0.95711299999999999</v>
      </c>
      <c r="E1664">
        <v>0.51642200000000005</v>
      </c>
    </row>
    <row r="1665" spans="1:5" x14ac:dyDescent="0.3">
      <c r="A1665" t="s">
        <v>594</v>
      </c>
      <c r="B1665">
        <v>329964.14</v>
      </c>
      <c r="C1665">
        <v>20</v>
      </c>
      <c r="D1665">
        <v>0.99587700000000001</v>
      </c>
      <c r="E1665">
        <v>0.98296899999999998</v>
      </c>
    </row>
    <row r="1666" spans="1:5" x14ac:dyDescent="0.3">
      <c r="A1666" t="s">
        <v>595</v>
      </c>
      <c r="B1666">
        <v>-238642.18</v>
      </c>
      <c r="C1666">
        <v>0</v>
      </c>
      <c r="D1666">
        <v>0.95785900000000002</v>
      </c>
      <c r="E1666">
        <v>0</v>
      </c>
    </row>
    <row r="1667" spans="1:5" x14ac:dyDescent="0.3">
      <c r="A1667" t="s">
        <v>2181</v>
      </c>
      <c r="B1667">
        <v>96679.53</v>
      </c>
      <c r="C1667">
        <v>15</v>
      </c>
      <c r="D1667" t="s">
        <v>1414</v>
      </c>
      <c r="E1667" t="s">
        <v>1414</v>
      </c>
    </row>
    <row r="1668" spans="1:5" x14ac:dyDescent="0.3">
      <c r="A1668" t="s">
        <v>668</v>
      </c>
      <c r="B1668">
        <v>31074.42</v>
      </c>
      <c r="C1668">
        <v>25</v>
      </c>
      <c r="D1668">
        <v>0.99037699999999995</v>
      </c>
      <c r="E1668">
        <v>0.94507399999999997</v>
      </c>
    </row>
    <row r="1669" spans="1:5" x14ac:dyDescent="0.3">
      <c r="A1669" t="s">
        <v>669</v>
      </c>
      <c r="B1669">
        <v>1349.9</v>
      </c>
      <c r="C1669">
        <v>36</v>
      </c>
      <c r="D1669">
        <v>0.91085799999999995</v>
      </c>
      <c r="E1669">
        <v>0.47340700000000002</v>
      </c>
    </row>
    <row r="1670" spans="1:5" x14ac:dyDescent="0.3">
      <c r="A1670" t="s">
        <v>1995</v>
      </c>
      <c r="B1670">
        <v>34900.959999999999</v>
      </c>
      <c r="C1670">
        <v>26</v>
      </c>
      <c r="D1670">
        <v>0.99312800000000001</v>
      </c>
      <c r="E1670">
        <v>0.92549099999999995</v>
      </c>
    </row>
    <row r="1671" spans="1:5" x14ac:dyDescent="0.3">
      <c r="A1671" t="s">
        <v>1849</v>
      </c>
      <c r="B1671">
        <v>133232.51999999999</v>
      </c>
      <c r="C1671">
        <v>9</v>
      </c>
      <c r="D1671">
        <v>1</v>
      </c>
      <c r="E1671">
        <v>1</v>
      </c>
    </row>
    <row r="1672" spans="1:5" x14ac:dyDescent="0.3">
      <c r="A1672" t="s">
        <v>1602</v>
      </c>
      <c r="B1672">
        <v>11079</v>
      </c>
      <c r="C1672">
        <v>15</v>
      </c>
      <c r="D1672">
        <v>1</v>
      </c>
      <c r="E1672" t="s">
        <v>1414</v>
      </c>
    </row>
    <row r="1673" spans="1:5" x14ac:dyDescent="0.3">
      <c r="A1673" t="s">
        <v>886</v>
      </c>
      <c r="B1673">
        <v>45651.89</v>
      </c>
      <c r="C1673">
        <v>17</v>
      </c>
      <c r="D1673">
        <v>0.99507500000000004</v>
      </c>
      <c r="E1673">
        <v>0.82235599999999998</v>
      </c>
    </row>
    <row r="1674" spans="1:5" x14ac:dyDescent="0.3">
      <c r="A1674" t="s">
        <v>1850</v>
      </c>
      <c r="B1674">
        <v>-6903.32</v>
      </c>
      <c r="C1674">
        <v>30</v>
      </c>
      <c r="D1674">
        <v>1</v>
      </c>
      <c r="E1674" t="s">
        <v>1414</v>
      </c>
    </row>
    <row r="1675" spans="1:5" x14ac:dyDescent="0.3">
      <c r="A1675" t="s">
        <v>1851</v>
      </c>
      <c r="B1675">
        <v>51960.0600000001</v>
      </c>
      <c r="C1675">
        <v>10</v>
      </c>
      <c r="D1675">
        <v>1</v>
      </c>
      <c r="E1675" t="s">
        <v>1414</v>
      </c>
    </row>
    <row r="1676" spans="1:5" x14ac:dyDescent="0.3">
      <c r="A1676" t="s">
        <v>516</v>
      </c>
      <c r="B1676">
        <v>175805.34</v>
      </c>
      <c r="C1676">
        <v>28</v>
      </c>
      <c r="D1676">
        <v>0.98966200000000004</v>
      </c>
      <c r="E1676">
        <v>0.92537100000000005</v>
      </c>
    </row>
    <row r="1677" spans="1:5" x14ac:dyDescent="0.3">
      <c r="A1677" t="s">
        <v>2182</v>
      </c>
      <c r="B1677">
        <v>27680.27</v>
      </c>
      <c r="C1677">
        <v>30</v>
      </c>
      <c r="D1677">
        <v>1</v>
      </c>
      <c r="E1677" t="s">
        <v>1414</v>
      </c>
    </row>
    <row r="1678" spans="1:5" x14ac:dyDescent="0.3">
      <c r="A1678" t="s">
        <v>215</v>
      </c>
      <c r="B1678">
        <v>-186151.18</v>
      </c>
      <c r="C1678">
        <v>1</v>
      </c>
      <c r="D1678">
        <v>0.97915399999999997</v>
      </c>
      <c r="E1678">
        <v>1</v>
      </c>
    </row>
    <row r="1679" spans="1:5" x14ac:dyDescent="0.3">
      <c r="A1679" t="s">
        <v>1852</v>
      </c>
      <c r="B1679">
        <v>81473.320000000007</v>
      </c>
      <c r="C1679">
        <v>85</v>
      </c>
      <c r="D1679">
        <v>0.99108700000000005</v>
      </c>
      <c r="E1679">
        <v>1</v>
      </c>
    </row>
    <row r="1680" spans="1:5" x14ac:dyDescent="0.3">
      <c r="A1680" t="s">
        <v>670</v>
      </c>
      <c r="B1680">
        <v>-103820.9</v>
      </c>
      <c r="C1680">
        <v>22</v>
      </c>
      <c r="D1680">
        <v>0.99452600000000002</v>
      </c>
      <c r="E1680">
        <v>0.839171</v>
      </c>
    </row>
    <row r="1681" spans="1:5" x14ac:dyDescent="0.3">
      <c r="A1681" t="s">
        <v>1118</v>
      </c>
      <c r="B1681">
        <v>187337.15</v>
      </c>
      <c r="C1681">
        <v>24</v>
      </c>
      <c r="D1681">
        <v>0.99970400000000004</v>
      </c>
      <c r="E1681">
        <v>0.905806</v>
      </c>
    </row>
    <row r="1682" spans="1:5" x14ac:dyDescent="0.3">
      <c r="A1682" t="s">
        <v>216</v>
      </c>
      <c r="B1682">
        <v>243209.67</v>
      </c>
      <c r="C1682">
        <v>21</v>
      </c>
      <c r="D1682">
        <v>1</v>
      </c>
      <c r="E1682">
        <v>1</v>
      </c>
    </row>
    <row r="1683" spans="1:5" x14ac:dyDescent="0.3">
      <c r="A1683" t="s">
        <v>1853</v>
      </c>
      <c r="B1683">
        <v>-23961.200000000001</v>
      </c>
      <c r="C1683">
        <v>15</v>
      </c>
      <c r="D1683">
        <v>1</v>
      </c>
      <c r="E1683">
        <v>5.2671000000000003E-2</v>
      </c>
    </row>
    <row r="1684" spans="1:5" x14ac:dyDescent="0.3">
      <c r="A1684" t="s">
        <v>371</v>
      </c>
      <c r="B1684">
        <v>-219394.17</v>
      </c>
      <c r="C1684">
        <v>20</v>
      </c>
      <c r="D1684">
        <v>0.99980899999999995</v>
      </c>
      <c r="E1684">
        <v>1</v>
      </c>
    </row>
    <row r="1685" spans="1:5" x14ac:dyDescent="0.3">
      <c r="A1685" t="s">
        <v>1854</v>
      </c>
      <c r="B1685">
        <v>144814.42000000001</v>
      </c>
      <c r="C1685">
        <v>14</v>
      </c>
      <c r="D1685">
        <v>1</v>
      </c>
      <c r="E1685" t="s">
        <v>1414</v>
      </c>
    </row>
    <row r="1686" spans="1:5" x14ac:dyDescent="0.3">
      <c r="A1686" t="s">
        <v>136</v>
      </c>
      <c r="B1686">
        <v>140146.23999999999</v>
      </c>
      <c r="C1686">
        <v>24</v>
      </c>
      <c r="D1686">
        <v>0.99768999999999997</v>
      </c>
      <c r="E1686">
        <v>0.93424300000000005</v>
      </c>
    </row>
    <row r="1687" spans="1:5" x14ac:dyDescent="0.3">
      <c r="A1687" t="s">
        <v>1603</v>
      </c>
      <c r="B1687">
        <v>-245656.4</v>
      </c>
      <c r="C1687">
        <v>18</v>
      </c>
      <c r="D1687">
        <v>0.98594499999999996</v>
      </c>
      <c r="E1687">
        <v>0.43243700000000002</v>
      </c>
    </row>
    <row r="1688" spans="1:5" x14ac:dyDescent="0.3">
      <c r="A1688" t="s">
        <v>1996</v>
      </c>
      <c r="B1688">
        <v>112751.79</v>
      </c>
      <c r="C1688">
        <v>14</v>
      </c>
      <c r="D1688">
        <v>1</v>
      </c>
      <c r="E1688" t="s">
        <v>1414</v>
      </c>
    </row>
    <row r="1689" spans="1:5" x14ac:dyDescent="0.3">
      <c r="A1689" t="s">
        <v>1855</v>
      </c>
      <c r="B1689">
        <v>22847.98</v>
      </c>
      <c r="C1689">
        <v>15</v>
      </c>
      <c r="D1689">
        <v>1</v>
      </c>
      <c r="E1689" t="s">
        <v>1414</v>
      </c>
    </row>
    <row r="1690" spans="1:5" x14ac:dyDescent="0.3">
      <c r="A1690" t="s">
        <v>1856</v>
      </c>
      <c r="B1690">
        <v>-83455.210000000006</v>
      </c>
      <c r="C1690">
        <v>8</v>
      </c>
      <c r="D1690">
        <v>0.96556399999999998</v>
      </c>
      <c r="E1690">
        <v>0.76558199999999998</v>
      </c>
    </row>
    <row r="1691" spans="1:5" x14ac:dyDescent="0.3">
      <c r="A1691" t="s">
        <v>671</v>
      </c>
      <c r="B1691">
        <v>-45658.21</v>
      </c>
      <c r="C1691">
        <v>15</v>
      </c>
      <c r="D1691">
        <v>0.94553799999999999</v>
      </c>
      <c r="E1691" t="s">
        <v>1414</v>
      </c>
    </row>
    <row r="1692" spans="1:5" x14ac:dyDescent="0.3">
      <c r="A1692" t="s">
        <v>1194</v>
      </c>
      <c r="B1692">
        <v>171272.92</v>
      </c>
      <c r="C1692">
        <v>20</v>
      </c>
      <c r="D1692">
        <v>0.99842200000000003</v>
      </c>
      <c r="E1692">
        <v>0.98005500000000001</v>
      </c>
    </row>
    <row r="1693" spans="1:5" x14ac:dyDescent="0.3">
      <c r="A1693" t="s">
        <v>287</v>
      </c>
      <c r="B1693">
        <v>-53742.78</v>
      </c>
      <c r="C1693">
        <v>10</v>
      </c>
      <c r="D1693">
        <v>0.99269499999999999</v>
      </c>
      <c r="E1693">
        <v>1</v>
      </c>
    </row>
    <row r="1694" spans="1:5" x14ac:dyDescent="0.3">
      <c r="A1694" t="s">
        <v>517</v>
      </c>
      <c r="B1694">
        <v>-14327.48</v>
      </c>
      <c r="C1694">
        <v>65</v>
      </c>
      <c r="D1694">
        <v>0.98059700000000005</v>
      </c>
      <c r="E1694">
        <v>0.50553499999999996</v>
      </c>
    </row>
    <row r="1695" spans="1:5" x14ac:dyDescent="0.3">
      <c r="A1695" t="s">
        <v>1997</v>
      </c>
      <c r="B1695">
        <v>21584.23</v>
      </c>
      <c r="C1695">
        <v>53</v>
      </c>
      <c r="D1695">
        <v>1</v>
      </c>
      <c r="E1695" t="s">
        <v>1414</v>
      </c>
    </row>
    <row r="1696" spans="1:5" x14ac:dyDescent="0.3">
      <c r="A1696" t="s">
        <v>1857</v>
      </c>
      <c r="B1696">
        <v>67234.570000000007</v>
      </c>
      <c r="C1696">
        <v>7</v>
      </c>
      <c r="D1696">
        <v>1</v>
      </c>
      <c r="E1696" t="s">
        <v>1414</v>
      </c>
    </row>
    <row r="1697" spans="1:5" x14ac:dyDescent="0.3">
      <c r="A1697" t="s">
        <v>288</v>
      </c>
      <c r="B1697">
        <v>-1793</v>
      </c>
      <c r="C1697">
        <v>19</v>
      </c>
      <c r="D1697">
        <v>0.99507500000000004</v>
      </c>
      <c r="E1697">
        <v>9.7896999999999998E-2</v>
      </c>
    </row>
    <row r="1698" spans="1:5" x14ac:dyDescent="0.3">
      <c r="A1698" t="s">
        <v>672</v>
      </c>
      <c r="B1698">
        <v>-50965.26</v>
      </c>
      <c r="C1698">
        <v>14</v>
      </c>
      <c r="D1698">
        <v>0.981603</v>
      </c>
      <c r="E1698">
        <v>0.884575</v>
      </c>
    </row>
    <row r="1699" spans="1:5" x14ac:dyDescent="0.3">
      <c r="A1699" t="s">
        <v>1029</v>
      </c>
      <c r="B1699">
        <v>55209.39</v>
      </c>
      <c r="C1699">
        <v>23</v>
      </c>
      <c r="D1699">
        <v>1</v>
      </c>
      <c r="E1699" t="s">
        <v>1414</v>
      </c>
    </row>
    <row r="1700" spans="1:5" x14ac:dyDescent="0.3">
      <c r="A1700" t="s">
        <v>802</v>
      </c>
      <c r="B1700">
        <v>177280.79</v>
      </c>
      <c r="C1700">
        <v>22</v>
      </c>
      <c r="D1700">
        <v>1</v>
      </c>
      <c r="E1700">
        <v>1</v>
      </c>
    </row>
    <row r="1701" spans="1:5" x14ac:dyDescent="0.3">
      <c r="A1701" t="s">
        <v>1604</v>
      </c>
      <c r="B1701">
        <v>0</v>
      </c>
      <c r="C1701">
        <v>0</v>
      </c>
      <c r="D1701" t="s">
        <v>1414</v>
      </c>
      <c r="E1701" t="s">
        <v>1414</v>
      </c>
    </row>
    <row r="1702" spans="1:5" x14ac:dyDescent="0.3">
      <c r="A1702" t="s">
        <v>596</v>
      </c>
      <c r="B1702">
        <v>67405.09</v>
      </c>
      <c r="C1702">
        <v>24</v>
      </c>
      <c r="D1702">
        <v>0.99734599999999995</v>
      </c>
      <c r="E1702">
        <v>1</v>
      </c>
    </row>
    <row r="1703" spans="1:5" x14ac:dyDescent="0.3">
      <c r="A1703" t="s">
        <v>137</v>
      </c>
      <c r="B1703">
        <v>-49964.87</v>
      </c>
      <c r="C1703">
        <v>15</v>
      </c>
      <c r="D1703">
        <v>0.98328700000000002</v>
      </c>
      <c r="E1703">
        <v>0.27759200000000001</v>
      </c>
    </row>
    <row r="1704" spans="1:5" x14ac:dyDescent="0.3">
      <c r="A1704" t="s">
        <v>217</v>
      </c>
      <c r="B1704">
        <v>45939.97</v>
      </c>
      <c r="C1704">
        <v>17</v>
      </c>
      <c r="D1704">
        <v>0.990537</v>
      </c>
      <c r="E1704">
        <v>0.92926500000000001</v>
      </c>
    </row>
    <row r="1705" spans="1:5" x14ac:dyDescent="0.3">
      <c r="A1705" t="s">
        <v>1998</v>
      </c>
      <c r="B1705">
        <v>-174411.87</v>
      </c>
      <c r="C1705">
        <v>13</v>
      </c>
      <c r="D1705">
        <v>1</v>
      </c>
      <c r="E1705">
        <v>0</v>
      </c>
    </row>
    <row r="1706" spans="1:5" x14ac:dyDescent="0.3">
      <c r="A1706" t="s">
        <v>673</v>
      </c>
      <c r="B1706">
        <v>162784.28</v>
      </c>
      <c r="C1706">
        <v>26</v>
      </c>
      <c r="D1706">
        <v>0.99917999999999996</v>
      </c>
      <c r="E1706">
        <v>1</v>
      </c>
    </row>
    <row r="1707" spans="1:5" x14ac:dyDescent="0.3">
      <c r="A1707" t="s">
        <v>518</v>
      </c>
      <c r="B1707">
        <v>89530.38</v>
      </c>
      <c r="C1707">
        <v>24</v>
      </c>
      <c r="D1707">
        <v>0.99771200000000004</v>
      </c>
      <c r="E1707">
        <v>1</v>
      </c>
    </row>
    <row r="1708" spans="1:5" x14ac:dyDescent="0.3">
      <c r="A1708" t="s">
        <v>1605</v>
      </c>
      <c r="B1708">
        <v>47935.74</v>
      </c>
      <c r="C1708">
        <v>19</v>
      </c>
      <c r="D1708">
        <v>0.94282600000000005</v>
      </c>
      <c r="E1708">
        <v>0.60067199999999998</v>
      </c>
    </row>
    <row r="1709" spans="1:5" x14ac:dyDescent="0.3">
      <c r="A1709" t="s">
        <v>1999</v>
      </c>
      <c r="B1709">
        <v>35072.230000000003</v>
      </c>
      <c r="C1709">
        <v>52</v>
      </c>
      <c r="D1709">
        <v>1</v>
      </c>
      <c r="E1709" t="s">
        <v>1414</v>
      </c>
    </row>
    <row r="1710" spans="1:5" x14ac:dyDescent="0.3">
      <c r="A1710" t="s">
        <v>1606</v>
      </c>
      <c r="B1710">
        <v>-56405.59</v>
      </c>
      <c r="C1710">
        <v>19</v>
      </c>
      <c r="D1710">
        <v>0.99990100000000004</v>
      </c>
      <c r="E1710">
        <v>2.7056E-2</v>
      </c>
    </row>
    <row r="1711" spans="1:5" x14ac:dyDescent="0.3">
      <c r="A1711" t="s">
        <v>1858</v>
      </c>
      <c r="B1711">
        <v>-21666.41</v>
      </c>
      <c r="C1711">
        <v>20</v>
      </c>
      <c r="D1711">
        <v>0.990066</v>
      </c>
      <c r="E1711">
        <v>0.29938500000000001</v>
      </c>
    </row>
    <row r="1712" spans="1:5" x14ac:dyDescent="0.3">
      <c r="A1712" t="s">
        <v>1030</v>
      </c>
      <c r="B1712">
        <v>53818.84</v>
      </c>
      <c r="C1712">
        <v>26</v>
      </c>
      <c r="D1712">
        <v>0.98838400000000004</v>
      </c>
      <c r="E1712">
        <v>1</v>
      </c>
    </row>
    <row r="1713" spans="1:5" x14ac:dyDescent="0.3">
      <c r="A1713" t="s">
        <v>1859</v>
      </c>
      <c r="B1713">
        <v>65719.47</v>
      </c>
      <c r="C1713">
        <v>91</v>
      </c>
      <c r="D1713">
        <v>0.99127900000000002</v>
      </c>
      <c r="E1713">
        <v>1</v>
      </c>
    </row>
    <row r="1714" spans="1:5" x14ac:dyDescent="0.3">
      <c r="A1714" t="s">
        <v>372</v>
      </c>
      <c r="B1714">
        <v>98852.9</v>
      </c>
      <c r="C1714">
        <v>19</v>
      </c>
      <c r="D1714">
        <v>0.99010699999999996</v>
      </c>
      <c r="E1714">
        <v>1</v>
      </c>
    </row>
    <row r="1715" spans="1:5" x14ac:dyDescent="0.3">
      <c r="A1715" t="s">
        <v>218</v>
      </c>
      <c r="B1715">
        <v>109331.1</v>
      </c>
      <c r="C1715">
        <v>21</v>
      </c>
      <c r="D1715">
        <v>0.997749</v>
      </c>
      <c r="E1715">
        <v>1</v>
      </c>
    </row>
    <row r="1716" spans="1:5" x14ac:dyDescent="0.3">
      <c r="A1716" t="s">
        <v>1860</v>
      </c>
      <c r="B1716">
        <v>79334.12</v>
      </c>
      <c r="C1716">
        <v>11</v>
      </c>
      <c r="D1716">
        <v>1</v>
      </c>
      <c r="E1716" t="s">
        <v>1414</v>
      </c>
    </row>
    <row r="1717" spans="1:5" x14ac:dyDescent="0.3">
      <c r="A1717" t="s">
        <v>1607</v>
      </c>
      <c r="B1717">
        <v>16848.189999999999</v>
      </c>
      <c r="C1717">
        <v>66</v>
      </c>
      <c r="D1717">
        <v>0.99439900000000003</v>
      </c>
      <c r="E1717">
        <v>0.87198100000000001</v>
      </c>
    </row>
    <row r="1718" spans="1:5" x14ac:dyDescent="0.3">
      <c r="A1718" t="s">
        <v>289</v>
      </c>
      <c r="B1718">
        <v>-303260.37</v>
      </c>
      <c r="C1718">
        <v>21</v>
      </c>
      <c r="D1718">
        <v>0.99854699999999996</v>
      </c>
      <c r="E1718">
        <v>0.57918199999999997</v>
      </c>
    </row>
    <row r="1719" spans="1:5" x14ac:dyDescent="0.3">
      <c r="A1719" t="s">
        <v>2183</v>
      </c>
      <c r="B1719">
        <v>-59333.7</v>
      </c>
      <c r="C1719">
        <v>10</v>
      </c>
      <c r="D1719">
        <v>0.99330799999999997</v>
      </c>
      <c r="E1719">
        <v>0.68982200000000005</v>
      </c>
    </row>
    <row r="1720" spans="1:5" x14ac:dyDescent="0.3">
      <c r="A1720" t="s">
        <v>1608</v>
      </c>
      <c r="B1720">
        <v>23400.12</v>
      </c>
      <c r="C1720">
        <v>60</v>
      </c>
      <c r="D1720">
        <v>0.97189099999999995</v>
      </c>
      <c r="E1720">
        <v>0.78763700000000003</v>
      </c>
    </row>
    <row r="1721" spans="1:5" x14ac:dyDescent="0.3">
      <c r="A1721" t="s">
        <v>1861</v>
      </c>
      <c r="B1721">
        <v>9020.4899999999907</v>
      </c>
      <c r="C1721">
        <v>7</v>
      </c>
      <c r="D1721">
        <v>1</v>
      </c>
      <c r="E1721" t="s">
        <v>1414</v>
      </c>
    </row>
    <row r="1722" spans="1:5" x14ac:dyDescent="0.3">
      <c r="A1722" t="s">
        <v>138</v>
      </c>
      <c r="B1722">
        <v>11448.58</v>
      </c>
      <c r="C1722">
        <v>21</v>
      </c>
      <c r="D1722">
        <v>0.98517699999999997</v>
      </c>
      <c r="E1722">
        <v>0.89032100000000003</v>
      </c>
    </row>
    <row r="1723" spans="1:5" x14ac:dyDescent="0.3">
      <c r="A1723" t="s">
        <v>2184</v>
      </c>
      <c r="B1723">
        <v>84530.4399999999</v>
      </c>
      <c r="C1723">
        <v>8</v>
      </c>
      <c r="D1723">
        <v>1</v>
      </c>
      <c r="E1723" t="s">
        <v>1414</v>
      </c>
    </row>
    <row r="1724" spans="1:5" x14ac:dyDescent="0.3">
      <c r="A1724" t="s">
        <v>2185</v>
      </c>
      <c r="B1724">
        <v>149636</v>
      </c>
      <c r="C1724">
        <v>12</v>
      </c>
      <c r="D1724" t="s">
        <v>1414</v>
      </c>
      <c r="E1724" t="s">
        <v>1414</v>
      </c>
    </row>
    <row r="1725" spans="1:5" x14ac:dyDescent="0.3">
      <c r="A1725" t="s">
        <v>1862</v>
      </c>
      <c r="B1725">
        <v>313501.73</v>
      </c>
      <c r="C1725">
        <v>11</v>
      </c>
      <c r="D1725">
        <v>1</v>
      </c>
      <c r="E1725" t="s">
        <v>1414</v>
      </c>
    </row>
    <row r="1726" spans="1:5" x14ac:dyDescent="0.3">
      <c r="A1726" t="s">
        <v>964</v>
      </c>
      <c r="B1726">
        <v>222864.93</v>
      </c>
      <c r="C1726">
        <v>27</v>
      </c>
      <c r="D1726">
        <v>0.99904000000000004</v>
      </c>
      <c r="E1726">
        <v>1</v>
      </c>
    </row>
    <row r="1727" spans="1:5" x14ac:dyDescent="0.3">
      <c r="A1727" t="s">
        <v>519</v>
      </c>
      <c r="B1727">
        <v>35693.14</v>
      </c>
      <c r="C1727">
        <v>22</v>
      </c>
      <c r="D1727">
        <v>0.996475</v>
      </c>
      <c r="E1727">
        <v>1</v>
      </c>
    </row>
    <row r="1728" spans="1:5" x14ac:dyDescent="0.3">
      <c r="A1728" t="s">
        <v>803</v>
      </c>
      <c r="B1728">
        <v>160405.17000000001</v>
      </c>
      <c r="C1728">
        <v>24</v>
      </c>
      <c r="D1728">
        <v>0.99908200000000003</v>
      </c>
      <c r="E1728">
        <v>0.94909399999999999</v>
      </c>
    </row>
    <row r="1729" spans="1:5" x14ac:dyDescent="0.3">
      <c r="A1729" t="s">
        <v>1119</v>
      </c>
      <c r="B1729">
        <v>45041.83</v>
      </c>
      <c r="C1729">
        <v>20</v>
      </c>
      <c r="D1729">
        <v>0.99940499999999999</v>
      </c>
      <c r="E1729">
        <v>0.98919100000000004</v>
      </c>
    </row>
    <row r="1730" spans="1:5" x14ac:dyDescent="0.3">
      <c r="A1730" t="s">
        <v>2186</v>
      </c>
      <c r="B1730">
        <v>25106</v>
      </c>
      <c r="C1730">
        <v>5</v>
      </c>
      <c r="D1730" t="s">
        <v>1414</v>
      </c>
      <c r="E1730" t="s">
        <v>1414</v>
      </c>
    </row>
    <row r="1731" spans="1:5" x14ac:dyDescent="0.3">
      <c r="A1731" t="s">
        <v>2000</v>
      </c>
      <c r="B1731">
        <v>104143.29</v>
      </c>
      <c r="C1731">
        <v>16</v>
      </c>
      <c r="D1731">
        <v>1</v>
      </c>
      <c r="E1731" t="s">
        <v>1414</v>
      </c>
    </row>
    <row r="1732" spans="1:5" x14ac:dyDescent="0.3">
      <c r="A1732" t="s">
        <v>887</v>
      </c>
      <c r="B1732">
        <v>49285.71</v>
      </c>
      <c r="C1732">
        <v>20</v>
      </c>
      <c r="D1732">
        <v>0.995888</v>
      </c>
      <c r="E1732">
        <v>1</v>
      </c>
    </row>
    <row r="1733" spans="1:5" x14ac:dyDescent="0.3">
      <c r="A1733" t="s">
        <v>733</v>
      </c>
      <c r="B1733">
        <v>25300.66</v>
      </c>
      <c r="C1733">
        <v>51</v>
      </c>
      <c r="D1733">
        <v>0.96226400000000001</v>
      </c>
      <c r="E1733">
        <v>0.90499099999999999</v>
      </c>
    </row>
    <row r="1734" spans="1:5" x14ac:dyDescent="0.3">
      <c r="A1734" t="s">
        <v>734</v>
      </c>
      <c r="B1734">
        <v>54009.68</v>
      </c>
      <c r="C1734">
        <v>20</v>
      </c>
      <c r="D1734">
        <v>0.99857499999999999</v>
      </c>
      <c r="E1734">
        <v>1</v>
      </c>
    </row>
    <row r="1735" spans="1:5" x14ac:dyDescent="0.3">
      <c r="A1735" t="s">
        <v>139</v>
      </c>
      <c r="B1735">
        <v>-1874.23</v>
      </c>
      <c r="C1735">
        <v>11</v>
      </c>
      <c r="D1735">
        <v>1</v>
      </c>
      <c r="E1735">
        <v>0.26613599999999998</v>
      </c>
    </row>
    <row r="1736" spans="1:5" x14ac:dyDescent="0.3">
      <c r="A1736" t="s">
        <v>1863</v>
      </c>
      <c r="B1736">
        <v>51844.25</v>
      </c>
      <c r="C1736">
        <v>6</v>
      </c>
      <c r="D1736">
        <v>1</v>
      </c>
      <c r="E1736" t="s">
        <v>1414</v>
      </c>
    </row>
    <row r="1737" spans="1:5" x14ac:dyDescent="0.3">
      <c r="A1737" t="s">
        <v>1031</v>
      </c>
      <c r="B1737">
        <v>-31081.03</v>
      </c>
      <c r="C1737">
        <v>30</v>
      </c>
      <c r="D1737">
        <v>0.98552300000000004</v>
      </c>
      <c r="E1737">
        <v>0.226683</v>
      </c>
    </row>
    <row r="1738" spans="1:5" x14ac:dyDescent="0.3">
      <c r="A1738" t="s">
        <v>520</v>
      </c>
      <c r="B1738">
        <v>104418.23</v>
      </c>
      <c r="C1738">
        <v>22</v>
      </c>
      <c r="D1738">
        <v>0.99535899999999999</v>
      </c>
      <c r="E1738">
        <v>0.89508299999999996</v>
      </c>
    </row>
    <row r="1739" spans="1:5" x14ac:dyDescent="0.3">
      <c r="A1739" t="s">
        <v>597</v>
      </c>
      <c r="B1739">
        <v>59711.17</v>
      </c>
      <c r="C1739">
        <v>17</v>
      </c>
      <c r="D1739">
        <v>0.99356100000000003</v>
      </c>
      <c r="E1739">
        <v>1</v>
      </c>
    </row>
    <row r="1740" spans="1:5" x14ac:dyDescent="0.3">
      <c r="A1740" t="s">
        <v>219</v>
      </c>
      <c r="B1740">
        <v>-39624.21</v>
      </c>
      <c r="C1740">
        <v>19</v>
      </c>
      <c r="D1740">
        <v>0.99370099999999995</v>
      </c>
      <c r="E1740">
        <v>0.75057300000000005</v>
      </c>
    </row>
    <row r="1741" spans="1:5" x14ac:dyDescent="0.3">
      <c r="A1741" t="s">
        <v>1864</v>
      </c>
      <c r="B1741" s="11">
        <v>54004.63</v>
      </c>
      <c r="C1741">
        <v>9</v>
      </c>
      <c r="D1741">
        <v>1</v>
      </c>
      <c r="E1741">
        <v>0.77638600000000002</v>
      </c>
    </row>
    <row r="1742" spans="1:5" x14ac:dyDescent="0.3">
      <c r="A1742" t="s">
        <v>1120</v>
      </c>
      <c r="B1742">
        <v>-314533.46999999997</v>
      </c>
      <c r="C1742">
        <v>18</v>
      </c>
      <c r="D1742">
        <v>0.99656400000000001</v>
      </c>
      <c r="E1742">
        <v>0.90829099999999996</v>
      </c>
    </row>
    <row r="1743" spans="1:5" x14ac:dyDescent="0.3">
      <c r="A1743" t="s">
        <v>1865</v>
      </c>
      <c r="B1743">
        <v>66775.23</v>
      </c>
      <c r="C1743">
        <v>18</v>
      </c>
      <c r="D1743">
        <v>0.98861200000000005</v>
      </c>
      <c r="E1743">
        <v>0.97430000000000005</v>
      </c>
    </row>
    <row r="1744" spans="1:5" x14ac:dyDescent="0.3">
      <c r="A1744" t="s">
        <v>2187</v>
      </c>
      <c r="B1744">
        <v>19800</v>
      </c>
      <c r="C1744">
        <v>20</v>
      </c>
      <c r="D1744" t="s">
        <v>1414</v>
      </c>
      <c r="E1744" t="s">
        <v>1414</v>
      </c>
    </row>
    <row r="1745" spans="1:5" x14ac:dyDescent="0.3">
      <c r="A1745" t="s">
        <v>2001</v>
      </c>
      <c r="B1745">
        <v>197261.28</v>
      </c>
      <c r="C1745">
        <v>30</v>
      </c>
      <c r="D1745">
        <v>1</v>
      </c>
      <c r="E1745" t="s">
        <v>1414</v>
      </c>
    </row>
    <row r="1746" spans="1:5" x14ac:dyDescent="0.3">
      <c r="A1746" t="s">
        <v>1121</v>
      </c>
      <c r="B1746">
        <v>50646.62</v>
      </c>
      <c r="C1746">
        <v>21</v>
      </c>
      <c r="D1746">
        <v>0.99959600000000004</v>
      </c>
      <c r="E1746">
        <v>0</v>
      </c>
    </row>
    <row r="1747" spans="1:5" x14ac:dyDescent="0.3">
      <c r="A1747" t="s">
        <v>1866</v>
      </c>
      <c r="B1747">
        <v>60705.17</v>
      </c>
      <c r="C1747">
        <v>17</v>
      </c>
      <c r="D1747">
        <v>0.99915100000000001</v>
      </c>
      <c r="E1747">
        <v>1</v>
      </c>
    </row>
    <row r="1748" spans="1:5" x14ac:dyDescent="0.3">
      <c r="A1748" t="s">
        <v>1867</v>
      </c>
      <c r="B1748">
        <v>3720.95</v>
      </c>
      <c r="C1748">
        <v>51</v>
      </c>
      <c r="D1748">
        <v>1</v>
      </c>
      <c r="E1748" t="s">
        <v>1414</v>
      </c>
    </row>
    <row r="1749" spans="1:5" x14ac:dyDescent="0.3">
      <c r="A1749" t="s">
        <v>2188</v>
      </c>
      <c r="B1749">
        <v>94041.03</v>
      </c>
      <c r="C1749">
        <v>17</v>
      </c>
      <c r="D1749">
        <v>0.99919800000000003</v>
      </c>
      <c r="E1749">
        <v>0.149926</v>
      </c>
    </row>
    <row r="1750" spans="1:5" x14ac:dyDescent="0.3">
      <c r="A1750" t="s">
        <v>2189</v>
      </c>
      <c r="B1750">
        <v>241412</v>
      </c>
      <c r="C1750">
        <v>8</v>
      </c>
      <c r="D1750" t="s">
        <v>1414</v>
      </c>
      <c r="E1750" t="s">
        <v>1414</v>
      </c>
    </row>
    <row r="1751" spans="1:5" x14ac:dyDescent="0.3">
      <c r="A1751" t="s">
        <v>1609</v>
      </c>
      <c r="B1751">
        <v>100475.73</v>
      </c>
      <c r="C1751">
        <v>17</v>
      </c>
      <c r="D1751">
        <v>1</v>
      </c>
      <c r="E1751" t="s">
        <v>1414</v>
      </c>
    </row>
    <row r="1752" spans="1:5" x14ac:dyDescent="0.3">
      <c r="A1752" t="s">
        <v>965</v>
      </c>
      <c r="B1752">
        <v>66003.64</v>
      </c>
      <c r="C1752">
        <v>19</v>
      </c>
      <c r="D1752">
        <v>0.99689499999999998</v>
      </c>
      <c r="E1752">
        <v>1</v>
      </c>
    </row>
    <row r="1753" spans="1:5" x14ac:dyDescent="0.3">
      <c r="A1753" t="s">
        <v>2190</v>
      </c>
      <c r="B1753">
        <v>45099.519999999997</v>
      </c>
      <c r="C1753">
        <v>6</v>
      </c>
      <c r="D1753">
        <v>0.13464899999999999</v>
      </c>
      <c r="E1753">
        <v>1</v>
      </c>
    </row>
    <row r="1754" spans="1:5" x14ac:dyDescent="0.3">
      <c r="A1754" t="s">
        <v>373</v>
      </c>
      <c r="B1754">
        <v>73557.440000000002</v>
      </c>
      <c r="C1754">
        <v>24</v>
      </c>
      <c r="D1754">
        <v>0.995313</v>
      </c>
      <c r="E1754">
        <v>1</v>
      </c>
    </row>
    <row r="1755" spans="1:5" x14ac:dyDescent="0.3">
      <c r="A1755" t="s">
        <v>140</v>
      </c>
      <c r="B1755">
        <v>-202680.17</v>
      </c>
      <c r="C1755">
        <v>0</v>
      </c>
      <c r="D1755">
        <v>0.97885699999999998</v>
      </c>
      <c r="E1755">
        <v>1</v>
      </c>
    </row>
    <row r="1756" spans="1:5" x14ac:dyDescent="0.3">
      <c r="A1756" t="s">
        <v>290</v>
      </c>
      <c r="B1756">
        <v>-89552.18</v>
      </c>
      <c r="C1756">
        <v>9</v>
      </c>
      <c r="D1756">
        <v>0.99696499999999999</v>
      </c>
      <c r="E1756">
        <v>0.60499000000000003</v>
      </c>
    </row>
    <row r="1757" spans="1:5" x14ac:dyDescent="0.3">
      <c r="A1757" t="s">
        <v>888</v>
      </c>
      <c r="B1757">
        <v>-95276.03</v>
      </c>
      <c r="C1757">
        <v>14</v>
      </c>
      <c r="D1757">
        <v>0.98742099999999999</v>
      </c>
      <c r="E1757">
        <v>1</v>
      </c>
    </row>
    <row r="1758" spans="1:5" x14ac:dyDescent="0.3">
      <c r="A1758" t="s">
        <v>804</v>
      </c>
      <c r="B1758">
        <v>-105285.36</v>
      </c>
      <c r="C1758">
        <v>13</v>
      </c>
      <c r="D1758">
        <v>1</v>
      </c>
      <c r="E1758">
        <v>0.52561000000000002</v>
      </c>
    </row>
    <row r="1759" spans="1:5" x14ac:dyDescent="0.3">
      <c r="A1759" t="s">
        <v>2191</v>
      </c>
      <c r="B1759">
        <v>134300</v>
      </c>
      <c r="C1759">
        <v>13</v>
      </c>
      <c r="D1759" t="s">
        <v>1414</v>
      </c>
      <c r="E1759" t="s">
        <v>1414</v>
      </c>
    </row>
    <row r="1760" spans="1:5" x14ac:dyDescent="0.3">
      <c r="A1760" t="s">
        <v>374</v>
      </c>
      <c r="B1760">
        <v>86512.46</v>
      </c>
      <c r="C1760">
        <v>15</v>
      </c>
      <c r="D1760">
        <v>0.98892000000000002</v>
      </c>
      <c r="E1760">
        <v>0.35072399999999998</v>
      </c>
    </row>
    <row r="1761" spans="1:5" x14ac:dyDescent="0.3">
      <c r="A1761" t="s">
        <v>521</v>
      </c>
      <c r="B1761">
        <v>-188390.52</v>
      </c>
      <c r="C1761">
        <v>15</v>
      </c>
      <c r="D1761">
        <v>1</v>
      </c>
      <c r="E1761" t="s">
        <v>1414</v>
      </c>
    </row>
    <row r="1762" spans="1:5" x14ac:dyDescent="0.3">
      <c r="A1762" t="s">
        <v>2002</v>
      </c>
      <c r="B1762">
        <v>88115.53</v>
      </c>
      <c r="C1762">
        <v>19</v>
      </c>
      <c r="D1762">
        <v>1</v>
      </c>
      <c r="E1762" t="s">
        <v>1414</v>
      </c>
    </row>
    <row r="1763" spans="1:5" x14ac:dyDescent="0.3">
      <c r="A1763" t="s">
        <v>1610</v>
      </c>
      <c r="B1763">
        <v>-29588.38</v>
      </c>
      <c r="C1763">
        <v>13</v>
      </c>
      <c r="D1763">
        <v>0.996421</v>
      </c>
      <c r="E1763">
        <v>0.260299</v>
      </c>
    </row>
    <row r="1764" spans="1:5" x14ac:dyDescent="0.3">
      <c r="A1764" t="s">
        <v>805</v>
      </c>
      <c r="B1764">
        <v>190871.56</v>
      </c>
      <c r="C1764">
        <v>32</v>
      </c>
      <c r="D1764">
        <v>0.99496499999999999</v>
      </c>
      <c r="E1764">
        <v>1</v>
      </c>
    </row>
    <row r="1765" spans="1:5" x14ac:dyDescent="0.3">
      <c r="A1765" t="s">
        <v>735</v>
      </c>
      <c r="B1765">
        <v>187834.64</v>
      </c>
      <c r="C1765">
        <v>34</v>
      </c>
      <c r="D1765">
        <v>1</v>
      </c>
      <c r="E1765">
        <v>0.934222</v>
      </c>
    </row>
    <row r="1766" spans="1:5" x14ac:dyDescent="0.3">
      <c r="A1766" t="s">
        <v>69</v>
      </c>
      <c r="B1766">
        <v>105027.15</v>
      </c>
      <c r="C1766">
        <v>28</v>
      </c>
      <c r="D1766">
        <v>0.97882199999999997</v>
      </c>
      <c r="E1766">
        <v>0</v>
      </c>
    </row>
    <row r="1767" spans="1:5" x14ac:dyDescent="0.3">
      <c r="A1767" t="s">
        <v>1868</v>
      </c>
      <c r="B1767">
        <v>1103.0799999999599</v>
      </c>
      <c r="C1767">
        <v>9</v>
      </c>
      <c r="D1767">
        <v>0.96381399999999995</v>
      </c>
      <c r="E1767">
        <v>0.78438300000000005</v>
      </c>
    </row>
    <row r="1768" spans="1:5" x14ac:dyDescent="0.3">
      <c r="A1768" t="s">
        <v>2192</v>
      </c>
      <c r="B1768">
        <v>-250512.84</v>
      </c>
      <c r="C1768">
        <v>0</v>
      </c>
      <c r="D1768">
        <v>0.92957400000000001</v>
      </c>
      <c r="E1768">
        <v>0.91773099999999996</v>
      </c>
    </row>
    <row r="1769" spans="1:5" x14ac:dyDescent="0.3">
      <c r="A1769" t="s">
        <v>1611</v>
      </c>
      <c r="B1769">
        <v>31070.16</v>
      </c>
      <c r="C1769">
        <v>12</v>
      </c>
      <c r="D1769">
        <v>1</v>
      </c>
      <c r="E1769" t="s">
        <v>1414</v>
      </c>
    </row>
    <row r="1770" spans="1:5" x14ac:dyDescent="0.3">
      <c r="A1770" t="s">
        <v>1122</v>
      </c>
      <c r="B1770">
        <v>52141.23</v>
      </c>
      <c r="C1770">
        <v>143</v>
      </c>
      <c r="D1770">
        <v>0.96890799999999999</v>
      </c>
      <c r="E1770">
        <v>0.83441799999999999</v>
      </c>
    </row>
    <row r="1771" spans="1:5" x14ac:dyDescent="0.3">
      <c r="A1771" t="s">
        <v>1612</v>
      </c>
      <c r="B1771">
        <v>-19393.39</v>
      </c>
      <c r="C1771">
        <v>71</v>
      </c>
      <c r="D1771">
        <v>0.97592599999999996</v>
      </c>
      <c r="E1771">
        <v>0.63617400000000002</v>
      </c>
    </row>
    <row r="1772" spans="1:5" x14ac:dyDescent="0.3">
      <c r="A1772" t="s">
        <v>375</v>
      </c>
      <c r="B1772">
        <v>21724.11</v>
      </c>
      <c r="C1772">
        <v>21</v>
      </c>
      <c r="D1772">
        <v>1</v>
      </c>
      <c r="E1772">
        <v>1</v>
      </c>
    </row>
    <row r="1773" spans="1:5" x14ac:dyDescent="0.3">
      <c r="A1773" t="s">
        <v>376</v>
      </c>
      <c r="B1773">
        <v>85284.51</v>
      </c>
      <c r="C1773">
        <v>21</v>
      </c>
      <c r="D1773">
        <v>0.99949200000000005</v>
      </c>
      <c r="E1773">
        <v>0.98337699999999995</v>
      </c>
    </row>
    <row r="1774" spans="1:5" x14ac:dyDescent="0.3">
      <c r="A1774" t="s">
        <v>806</v>
      </c>
      <c r="B1774">
        <v>32855.31</v>
      </c>
      <c r="C1774">
        <v>19</v>
      </c>
      <c r="D1774">
        <v>0.99182400000000004</v>
      </c>
      <c r="E1774">
        <v>1</v>
      </c>
    </row>
    <row r="1775" spans="1:5" x14ac:dyDescent="0.3">
      <c r="A1775" t="s">
        <v>1032</v>
      </c>
      <c r="B1775">
        <v>-188941.8</v>
      </c>
      <c r="C1775">
        <v>9</v>
      </c>
      <c r="D1775">
        <v>0.98569799999999996</v>
      </c>
      <c r="E1775">
        <v>0.84238599999999997</v>
      </c>
    </row>
    <row r="1776" spans="1:5" x14ac:dyDescent="0.3">
      <c r="A1776" t="s">
        <v>1255</v>
      </c>
      <c r="B1776">
        <v>28828.74</v>
      </c>
      <c r="C1776">
        <v>23</v>
      </c>
      <c r="D1776">
        <v>1</v>
      </c>
      <c r="E1776">
        <v>0.91620100000000004</v>
      </c>
    </row>
    <row r="1777" spans="1:5" x14ac:dyDescent="0.3">
      <c r="A1777" t="s">
        <v>1613</v>
      </c>
      <c r="B1777">
        <v>-75514.34</v>
      </c>
      <c r="C1777">
        <v>14</v>
      </c>
      <c r="D1777">
        <v>0.911802</v>
      </c>
      <c r="E1777">
        <v>0.95094599999999996</v>
      </c>
    </row>
    <row r="1778" spans="1:5" x14ac:dyDescent="0.3">
      <c r="A1778" t="s">
        <v>1256</v>
      </c>
      <c r="B1778">
        <v>-35863.46</v>
      </c>
      <c r="C1778">
        <v>21</v>
      </c>
      <c r="D1778">
        <v>0.99787199999999998</v>
      </c>
      <c r="E1778">
        <v>0.16895399999999999</v>
      </c>
    </row>
    <row r="1779" spans="1:5" x14ac:dyDescent="0.3">
      <c r="A1779" t="s">
        <v>1123</v>
      </c>
      <c r="B1779">
        <v>120363.29</v>
      </c>
      <c r="C1779">
        <v>16</v>
      </c>
      <c r="D1779">
        <v>0.99632299999999996</v>
      </c>
      <c r="E1779">
        <v>0.88055300000000003</v>
      </c>
    </row>
    <row r="1780" spans="1:5" x14ac:dyDescent="0.3">
      <c r="A1780" t="s">
        <v>1614</v>
      </c>
      <c r="B1780">
        <v>-65194.58</v>
      </c>
      <c r="C1780">
        <v>12</v>
      </c>
      <c r="D1780">
        <v>0.94681700000000002</v>
      </c>
      <c r="E1780">
        <v>0.90268099999999996</v>
      </c>
    </row>
    <row r="1781" spans="1:5" x14ac:dyDescent="0.3">
      <c r="A1781" t="s">
        <v>2193</v>
      </c>
      <c r="B1781">
        <v>59500</v>
      </c>
      <c r="C1781">
        <v>8</v>
      </c>
      <c r="D1781" t="s">
        <v>1414</v>
      </c>
      <c r="E1781" t="s">
        <v>1414</v>
      </c>
    </row>
    <row r="1782" spans="1:5" x14ac:dyDescent="0.3">
      <c r="A1782" t="s">
        <v>1272</v>
      </c>
      <c r="B1782">
        <v>-11740.67</v>
      </c>
      <c r="C1782">
        <v>66</v>
      </c>
      <c r="D1782">
        <v>0.98064399999999996</v>
      </c>
      <c r="E1782">
        <v>0.301346</v>
      </c>
    </row>
    <row r="1783" spans="1:5" x14ac:dyDescent="0.3">
      <c r="A1783" t="s">
        <v>439</v>
      </c>
      <c r="B1783">
        <v>-34371.94</v>
      </c>
      <c r="C1783">
        <v>23</v>
      </c>
      <c r="D1783">
        <v>0.98566699999999996</v>
      </c>
      <c r="E1783">
        <v>0.80956099999999998</v>
      </c>
    </row>
    <row r="1784" spans="1:5" x14ac:dyDescent="0.3">
      <c r="A1784" t="s">
        <v>440</v>
      </c>
      <c r="B1784">
        <v>49085.89</v>
      </c>
      <c r="C1784">
        <v>17</v>
      </c>
      <c r="D1784">
        <v>0.98086600000000002</v>
      </c>
      <c r="E1784">
        <v>1</v>
      </c>
    </row>
    <row r="1785" spans="1:5" x14ac:dyDescent="0.3">
      <c r="A1785" t="s">
        <v>2194</v>
      </c>
      <c r="B1785">
        <v>0</v>
      </c>
      <c r="C1785">
        <v>0</v>
      </c>
      <c r="D1785" t="s">
        <v>1414</v>
      </c>
      <c r="E1785" t="s">
        <v>1414</v>
      </c>
    </row>
    <row r="1786" spans="1:5" x14ac:dyDescent="0.3">
      <c r="A1786" t="s">
        <v>598</v>
      </c>
      <c r="B1786">
        <v>92642.25</v>
      </c>
      <c r="C1786">
        <v>18</v>
      </c>
      <c r="D1786">
        <v>1</v>
      </c>
      <c r="E1786">
        <v>0.94773099999999999</v>
      </c>
    </row>
    <row r="1787" spans="1:5" x14ac:dyDescent="0.3">
      <c r="A1787" t="s">
        <v>1615</v>
      </c>
      <c r="B1787">
        <v>44857.33</v>
      </c>
      <c r="C1787">
        <v>20</v>
      </c>
      <c r="D1787">
        <v>0.99922800000000001</v>
      </c>
      <c r="E1787" t="s">
        <v>1414</v>
      </c>
    </row>
    <row r="1788" spans="1:5" x14ac:dyDescent="0.3">
      <c r="A1788" t="s">
        <v>1869</v>
      </c>
      <c r="B1788">
        <v>-270242.76</v>
      </c>
      <c r="C1788">
        <v>0</v>
      </c>
      <c r="D1788">
        <v>0.943855</v>
      </c>
      <c r="E1788">
        <v>0.58470200000000006</v>
      </c>
    </row>
    <row r="1789" spans="1:5" x14ac:dyDescent="0.3">
      <c r="A1789" t="s">
        <v>1616</v>
      </c>
      <c r="B1789">
        <v>-167088.32999999999</v>
      </c>
      <c r="C1789">
        <v>5</v>
      </c>
      <c r="D1789">
        <v>0.98972099999999996</v>
      </c>
      <c r="E1789">
        <v>0.251892</v>
      </c>
    </row>
    <row r="1790" spans="1:5" x14ac:dyDescent="0.3">
      <c r="A1790" t="s">
        <v>141</v>
      </c>
      <c r="B1790">
        <v>131574.81</v>
      </c>
      <c r="C1790">
        <v>19</v>
      </c>
      <c r="D1790">
        <v>0.99693799999999999</v>
      </c>
      <c r="E1790">
        <v>1</v>
      </c>
    </row>
    <row r="1791" spans="1:5" x14ac:dyDescent="0.3">
      <c r="A1791" t="s">
        <v>70</v>
      </c>
      <c r="B1791">
        <v>173968.71</v>
      </c>
      <c r="C1791">
        <v>25</v>
      </c>
      <c r="D1791">
        <v>0.99235700000000004</v>
      </c>
      <c r="E1791" t="s">
        <v>1414</v>
      </c>
    </row>
    <row r="1792" spans="1:5" x14ac:dyDescent="0.3">
      <c r="A1792" t="s">
        <v>291</v>
      </c>
      <c r="B1792">
        <v>-62416.71</v>
      </c>
      <c r="C1792">
        <v>23</v>
      </c>
      <c r="D1792">
        <v>0.99819500000000005</v>
      </c>
      <c r="E1792">
        <v>0.62192800000000004</v>
      </c>
    </row>
    <row r="1793" spans="1:5" x14ac:dyDescent="0.3">
      <c r="A1793" t="s">
        <v>441</v>
      </c>
      <c r="B1793">
        <v>11416.23</v>
      </c>
      <c r="C1793">
        <v>18</v>
      </c>
      <c r="D1793">
        <v>0.99407400000000001</v>
      </c>
      <c r="E1793">
        <v>0.96704100000000004</v>
      </c>
    </row>
    <row r="1794" spans="1:5" x14ac:dyDescent="0.3">
      <c r="A1794" t="s">
        <v>1870</v>
      </c>
      <c r="B1794">
        <v>-25563.87</v>
      </c>
      <c r="C1794">
        <v>19</v>
      </c>
      <c r="D1794">
        <v>0.99320299999999995</v>
      </c>
      <c r="E1794">
        <v>4.7840000000000001E-3</v>
      </c>
    </row>
    <row r="1795" spans="1:5" x14ac:dyDescent="0.3">
      <c r="A1795" t="s">
        <v>1617</v>
      </c>
      <c r="B1795">
        <v>56747.9</v>
      </c>
      <c r="C1795">
        <v>82</v>
      </c>
      <c r="D1795">
        <v>0.98306899999999997</v>
      </c>
      <c r="E1795">
        <v>0.87147600000000003</v>
      </c>
    </row>
    <row r="1796" spans="1:5" x14ac:dyDescent="0.3">
      <c r="A1796" t="s">
        <v>142</v>
      </c>
      <c r="B1796">
        <v>-12721.42</v>
      </c>
      <c r="C1796">
        <v>78</v>
      </c>
      <c r="D1796">
        <v>0.959198</v>
      </c>
      <c r="E1796">
        <v>0.60391799999999995</v>
      </c>
    </row>
    <row r="1797" spans="1:5" x14ac:dyDescent="0.3">
      <c r="A1797" t="s">
        <v>1618</v>
      </c>
      <c r="B1797">
        <v>-91000.429999999906</v>
      </c>
      <c r="C1797">
        <v>13</v>
      </c>
      <c r="D1797">
        <v>1</v>
      </c>
      <c r="E1797">
        <v>1</v>
      </c>
    </row>
    <row r="1798" spans="1:5" x14ac:dyDescent="0.3">
      <c r="A1798" t="s">
        <v>1619</v>
      </c>
      <c r="B1798">
        <v>151930.75</v>
      </c>
      <c r="C1798">
        <v>20</v>
      </c>
      <c r="D1798">
        <v>1</v>
      </c>
      <c r="E1798">
        <v>0</v>
      </c>
    </row>
    <row r="1799" spans="1:5" x14ac:dyDescent="0.3">
      <c r="A1799" t="s">
        <v>522</v>
      </c>
      <c r="B1799">
        <v>202024.08</v>
      </c>
      <c r="C1799">
        <v>15</v>
      </c>
      <c r="D1799">
        <v>0.99841400000000002</v>
      </c>
      <c r="E1799">
        <v>0.98254799999999998</v>
      </c>
    </row>
    <row r="1800" spans="1:5" x14ac:dyDescent="0.3">
      <c r="A1800" t="s">
        <v>292</v>
      </c>
      <c r="B1800">
        <v>2993.92</v>
      </c>
      <c r="C1800">
        <v>14</v>
      </c>
      <c r="D1800">
        <v>0.98142300000000005</v>
      </c>
      <c r="E1800">
        <v>5.1456000000000002E-2</v>
      </c>
    </row>
    <row r="1801" spans="1:5" x14ac:dyDescent="0.3">
      <c r="A1801" t="s">
        <v>1195</v>
      </c>
      <c r="B1801">
        <v>44243.82</v>
      </c>
      <c r="C1801">
        <v>23</v>
      </c>
      <c r="D1801">
        <v>0.99908399999999997</v>
      </c>
      <c r="E1801">
        <v>1</v>
      </c>
    </row>
    <row r="1802" spans="1:5" x14ac:dyDescent="0.3">
      <c r="A1802" t="s">
        <v>736</v>
      </c>
      <c r="B1802">
        <v>132167.93</v>
      </c>
      <c r="C1802">
        <v>22</v>
      </c>
      <c r="D1802">
        <v>1</v>
      </c>
      <c r="E1802">
        <v>1</v>
      </c>
    </row>
    <row r="1803" spans="1:5" x14ac:dyDescent="0.3">
      <c r="A1803" t="s">
        <v>1196</v>
      </c>
      <c r="B1803">
        <v>10989.08</v>
      </c>
      <c r="C1803">
        <v>18</v>
      </c>
      <c r="D1803">
        <v>0.99137399999999998</v>
      </c>
      <c r="E1803">
        <v>0.74097800000000003</v>
      </c>
    </row>
    <row r="1804" spans="1:5" x14ac:dyDescent="0.3">
      <c r="A1804" t="s">
        <v>71</v>
      </c>
      <c r="B1804">
        <v>166216.69</v>
      </c>
      <c r="C1804">
        <v>20</v>
      </c>
      <c r="D1804">
        <v>1</v>
      </c>
      <c r="E1804">
        <v>1</v>
      </c>
    </row>
    <row r="1805" spans="1:5" x14ac:dyDescent="0.3">
      <c r="A1805" t="s">
        <v>442</v>
      </c>
      <c r="B1805">
        <v>49241.87</v>
      </c>
      <c r="C1805">
        <v>19</v>
      </c>
      <c r="D1805">
        <v>0.99613300000000005</v>
      </c>
      <c r="E1805">
        <v>0.92181599999999997</v>
      </c>
    </row>
    <row r="1806" spans="1:5" x14ac:dyDescent="0.3">
      <c r="A1806" t="s">
        <v>1197</v>
      </c>
      <c r="B1806">
        <v>-143707.15</v>
      </c>
      <c r="C1806">
        <v>15</v>
      </c>
      <c r="D1806">
        <v>0.99834999999999996</v>
      </c>
      <c r="E1806">
        <v>0.397204</v>
      </c>
    </row>
    <row r="1807" spans="1:5" x14ac:dyDescent="0.3">
      <c r="A1807" t="s">
        <v>72</v>
      </c>
      <c r="B1807">
        <v>-41165.56</v>
      </c>
      <c r="C1807">
        <v>11</v>
      </c>
      <c r="D1807">
        <v>0.99610600000000005</v>
      </c>
      <c r="E1807">
        <v>0.98907100000000003</v>
      </c>
    </row>
    <row r="1808" spans="1:5" x14ac:dyDescent="0.3">
      <c r="A1808" t="s">
        <v>807</v>
      </c>
      <c r="B1808">
        <v>-69682.78</v>
      </c>
      <c r="C1808">
        <v>18</v>
      </c>
      <c r="D1808">
        <v>0.97550499999999996</v>
      </c>
      <c r="E1808">
        <v>0.15620200000000001</v>
      </c>
    </row>
    <row r="1809" spans="1:5" x14ac:dyDescent="0.3">
      <c r="A1809" t="s">
        <v>808</v>
      </c>
      <c r="B1809">
        <v>-29141.84</v>
      </c>
      <c r="C1809">
        <v>15</v>
      </c>
      <c r="D1809">
        <v>0.987595</v>
      </c>
      <c r="E1809">
        <v>0.181529</v>
      </c>
    </row>
    <row r="1810" spans="1:5" x14ac:dyDescent="0.3">
      <c r="A1810" t="s">
        <v>73</v>
      </c>
      <c r="B1810">
        <v>-225815.29</v>
      </c>
      <c r="C1810">
        <v>24</v>
      </c>
      <c r="D1810">
        <v>1</v>
      </c>
      <c r="E1810">
        <v>1</v>
      </c>
    </row>
    <row r="1811" spans="1:5" x14ac:dyDescent="0.3">
      <c r="A1811" t="s">
        <v>1257</v>
      </c>
      <c r="B1811">
        <v>249314.61</v>
      </c>
      <c r="C1811">
        <v>25</v>
      </c>
      <c r="D1811">
        <v>0.99824100000000004</v>
      </c>
      <c r="E1811">
        <v>0.88767600000000002</v>
      </c>
    </row>
    <row r="1812" spans="1:5" x14ac:dyDescent="0.3">
      <c r="A1812" t="s">
        <v>809</v>
      </c>
      <c r="B1812">
        <v>-140511.93</v>
      </c>
      <c r="C1812">
        <v>16</v>
      </c>
      <c r="D1812">
        <v>0.984379</v>
      </c>
      <c r="E1812">
        <v>1</v>
      </c>
    </row>
    <row r="1813" spans="1:5" x14ac:dyDescent="0.3">
      <c r="A1813" t="s">
        <v>377</v>
      </c>
      <c r="B1813">
        <v>217959.23</v>
      </c>
      <c r="C1813">
        <v>25</v>
      </c>
      <c r="D1813">
        <v>0.95592699999999997</v>
      </c>
      <c r="E1813" t="s">
        <v>1414</v>
      </c>
    </row>
    <row r="1814" spans="1:5" x14ac:dyDescent="0.3">
      <c r="A1814" t="s">
        <v>523</v>
      </c>
      <c r="B1814">
        <v>142568.70000000001</v>
      </c>
      <c r="C1814">
        <v>25</v>
      </c>
      <c r="D1814">
        <v>0.96040000000000003</v>
      </c>
      <c r="E1814">
        <v>1</v>
      </c>
    </row>
    <row r="1815" spans="1:5" x14ac:dyDescent="0.3">
      <c r="A1815" t="s">
        <v>1198</v>
      </c>
      <c r="B1815">
        <v>-146745.65</v>
      </c>
      <c r="C1815">
        <v>9</v>
      </c>
      <c r="D1815">
        <v>0.99092599999999997</v>
      </c>
      <c r="E1815">
        <v>1</v>
      </c>
    </row>
    <row r="1816" spans="1:5" x14ac:dyDescent="0.3">
      <c r="A1816" t="s">
        <v>293</v>
      </c>
      <c r="B1816">
        <v>83371.039999999994</v>
      </c>
      <c r="C1816">
        <v>31</v>
      </c>
      <c r="D1816">
        <v>0.98941900000000005</v>
      </c>
      <c r="E1816">
        <v>0.88669600000000004</v>
      </c>
    </row>
    <row r="1817" spans="1:5" x14ac:dyDescent="0.3">
      <c r="A1817" t="s">
        <v>74</v>
      </c>
      <c r="B1817">
        <v>-113079.67999999999</v>
      </c>
      <c r="C1817">
        <v>11</v>
      </c>
      <c r="D1817">
        <v>0.98771100000000001</v>
      </c>
      <c r="E1817">
        <v>0.36369800000000002</v>
      </c>
    </row>
    <row r="1818" spans="1:5" x14ac:dyDescent="0.3">
      <c r="A1818" t="s">
        <v>1258</v>
      </c>
      <c r="B1818">
        <v>-219834.19</v>
      </c>
      <c r="C1818">
        <v>0</v>
      </c>
      <c r="D1818">
        <v>0.99591300000000005</v>
      </c>
      <c r="E1818">
        <v>1</v>
      </c>
    </row>
    <row r="1819" spans="1:5" x14ac:dyDescent="0.3">
      <c r="A1819" t="s">
        <v>1620</v>
      </c>
      <c r="B1819">
        <v>28740.71</v>
      </c>
      <c r="C1819">
        <v>91</v>
      </c>
      <c r="D1819">
        <v>0.97867700000000002</v>
      </c>
      <c r="E1819">
        <v>0.61830700000000005</v>
      </c>
    </row>
    <row r="1820" spans="1:5" x14ac:dyDescent="0.3">
      <c r="A1820" t="s">
        <v>1033</v>
      </c>
      <c r="B1820">
        <v>-96060.6899999999</v>
      </c>
      <c r="C1820">
        <v>24</v>
      </c>
      <c r="D1820">
        <v>0.96185399999999999</v>
      </c>
      <c r="E1820">
        <v>0.66483499999999995</v>
      </c>
    </row>
    <row r="1821" spans="1:5" x14ac:dyDescent="0.3">
      <c r="A1821" t="s">
        <v>294</v>
      </c>
      <c r="B1821">
        <v>-24933.79</v>
      </c>
      <c r="C1821">
        <v>12</v>
      </c>
      <c r="D1821">
        <v>1</v>
      </c>
      <c r="E1821" t="s">
        <v>1414</v>
      </c>
    </row>
    <row r="1822" spans="1:5" x14ac:dyDescent="0.3">
      <c r="A1822" t="s">
        <v>1871</v>
      </c>
      <c r="B1822">
        <v>-132611.29</v>
      </c>
      <c r="C1822">
        <v>58</v>
      </c>
      <c r="D1822">
        <v>0.96600200000000003</v>
      </c>
      <c r="E1822">
        <v>0.360902</v>
      </c>
    </row>
    <row r="1823" spans="1:5" x14ac:dyDescent="0.3">
      <c r="A1823" t="s">
        <v>1621</v>
      </c>
      <c r="B1823">
        <v>115982.78</v>
      </c>
      <c r="C1823">
        <v>13</v>
      </c>
      <c r="D1823">
        <v>0.99215699999999996</v>
      </c>
      <c r="E1823" t="s">
        <v>1414</v>
      </c>
    </row>
    <row r="1824" spans="1:5" x14ac:dyDescent="0.3">
      <c r="A1824" t="s">
        <v>889</v>
      </c>
      <c r="B1824">
        <v>153220.76</v>
      </c>
      <c r="C1824">
        <v>30</v>
      </c>
      <c r="D1824">
        <v>1</v>
      </c>
      <c r="E1824">
        <v>1</v>
      </c>
    </row>
    <row r="1825" spans="1:5" x14ac:dyDescent="0.3">
      <c r="A1825" t="s">
        <v>443</v>
      </c>
      <c r="B1825">
        <v>58532.66</v>
      </c>
      <c r="C1825">
        <v>18</v>
      </c>
      <c r="D1825">
        <v>0.98105500000000001</v>
      </c>
      <c r="E1825">
        <v>0.30909399999999998</v>
      </c>
    </row>
    <row r="1826" spans="1:5" x14ac:dyDescent="0.3">
      <c r="A1826" t="s">
        <v>1622</v>
      </c>
      <c r="B1826">
        <v>31455.46</v>
      </c>
      <c r="C1826">
        <v>19</v>
      </c>
      <c r="D1826">
        <v>0.99040799999999996</v>
      </c>
      <c r="E1826">
        <v>0.90816399999999997</v>
      </c>
    </row>
    <row r="1827" spans="1:5" x14ac:dyDescent="0.3">
      <c r="A1827" t="s">
        <v>737</v>
      </c>
      <c r="B1827">
        <v>-62711.8</v>
      </c>
      <c r="C1827">
        <v>14</v>
      </c>
      <c r="D1827">
        <v>0.99579799999999996</v>
      </c>
      <c r="E1827">
        <v>0.56448500000000001</v>
      </c>
    </row>
    <row r="1828" spans="1:5" x14ac:dyDescent="0.3">
      <c r="A1828" t="s">
        <v>295</v>
      </c>
      <c r="B1828">
        <v>-299551.77</v>
      </c>
      <c r="C1828">
        <v>0</v>
      </c>
      <c r="D1828">
        <v>0.9929</v>
      </c>
      <c r="E1828" t="s">
        <v>1414</v>
      </c>
    </row>
    <row r="1829" spans="1:5" x14ac:dyDescent="0.3">
      <c r="A1829" t="s">
        <v>2195</v>
      </c>
      <c r="B1829">
        <v>-25080.959999999999</v>
      </c>
      <c r="C1829">
        <v>7</v>
      </c>
      <c r="D1829">
        <v>0.94626200000000005</v>
      </c>
      <c r="E1829">
        <v>0.31797900000000001</v>
      </c>
    </row>
    <row r="1830" spans="1:5" x14ac:dyDescent="0.3">
      <c r="A1830" t="s">
        <v>1872</v>
      </c>
      <c r="B1830">
        <v>-5110.32</v>
      </c>
      <c r="C1830">
        <v>12</v>
      </c>
      <c r="D1830">
        <v>0.99311099999999997</v>
      </c>
      <c r="E1830">
        <v>0.51569399999999999</v>
      </c>
    </row>
    <row r="1831" spans="1:5" x14ac:dyDescent="0.3">
      <c r="A1831" t="s">
        <v>2196</v>
      </c>
      <c r="B1831">
        <v>29832.09</v>
      </c>
      <c r="C1831">
        <v>30</v>
      </c>
      <c r="D1831" t="s">
        <v>1414</v>
      </c>
      <c r="E1831" t="s">
        <v>1414</v>
      </c>
    </row>
    <row r="1832" spans="1:5" x14ac:dyDescent="0.3">
      <c r="A1832" t="s">
        <v>1873</v>
      </c>
      <c r="B1832">
        <v>2097.9</v>
      </c>
      <c r="C1832">
        <v>51</v>
      </c>
      <c r="D1832">
        <v>1</v>
      </c>
      <c r="E1832" t="s">
        <v>1414</v>
      </c>
    </row>
    <row r="1833" spans="1:5" x14ac:dyDescent="0.3">
      <c r="A1833" t="s">
        <v>2197</v>
      </c>
      <c r="B1833">
        <v>116049</v>
      </c>
      <c r="C1833">
        <v>10</v>
      </c>
      <c r="D1833" t="s">
        <v>1414</v>
      </c>
      <c r="E1833" t="s">
        <v>1414</v>
      </c>
    </row>
    <row r="1834" spans="1:5" x14ac:dyDescent="0.3">
      <c r="A1834" t="s">
        <v>1874</v>
      </c>
      <c r="B1834">
        <v>41773.910000000003</v>
      </c>
      <c r="C1834">
        <v>14</v>
      </c>
      <c r="D1834">
        <v>0.99796300000000004</v>
      </c>
      <c r="E1834">
        <v>0.88791299999999995</v>
      </c>
    </row>
    <row r="1835" spans="1:5" x14ac:dyDescent="0.3">
      <c r="A1835" t="s">
        <v>2198</v>
      </c>
      <c r="B1835">
        <v>47819.22</v>
      </c>
      <c r="C1835">
        <v>9</v>
      </c>
      <c r="D1835">
        <v>1</v>
      </c>
      <c r="E1835" t="s">
        <v>1414</v>
      </c>
    </row>
    <row r="1836" spans="1:5" x14ac:dyDescent="0.3">
      <c r="A1836" t="s">
        <v>966</v>
      </c>
      <c r="B1836">
        <v>9929.48</v>
      </c>
      <c r="C1836">
        <v>17</v>
      </c>
      <c r="D1836">
        <v>0.98416300000000001</v>
      </c>
      <c r="E1836">
        <v>0.16100900000000001</v>
      </c>
    </row>
    <row r="1837" spans="1:5" x14ac:dyDescent="0.3">
      <c r="A1837" t="s">
        <v>75</v>
      </c>
      <c r="B1837">
        <v>87313.58</v>
      </c>
      <c r="C1837">
        <v>21</v>
      </c>
      <c r="D1837">
        <v>1</v>
      </c>
      <c r="E1837">
        <v>0.99462099999999998</v>
      </c>
    </row>
    <row r="1838" spans="1:5" x14ac:dyDescent="0.3">
      <c r="A1838" t="s">
        <v>76</v>
      </c>
      <c r="B1838">
        <v>-86051.71</v>
      </c>
      <c r="C1838">
        <v>20</v>
      </c>
      <c r="D1838">
        <v>0.97586099999999998</v>
      </c>
      <c r="E1838">
        <v>0.33024799999999999</v>
      </c>
    </row>
    <row r="1839" spans="1:5" x14ac:dyDescent="0.3">
      <c r="A1839" t="s">
        <v>1875</v>
      </c>
      <c r="B1839">
        <v>63252.98</v>
      </c>
      <c r="C1839">
        <v>18</v>
      </c>
      <c r="D1839">
        <v>1</v>
      </c>
      <c r="E1839" t="s">
        <v>1414</v>
      </c>
    </row>
    <row r="1840" spans="1:5" x14ac:dyDescent="0.3">
      <c r="A1840" t="s">
        <v>1623</v>
      </c>
      <c r="B1840">
        <v>45402.28</v>
      </c>
      <c r="C1840">
        <v>14</v>
      </c>
      <c r="D1840">
        <v>0.99782400000000004</v>
      </c>
      <c r="E1840">
        <v>1</v>
      </c>
    </row>
    <row r="1841" spans="1:5" x14ac:dyDescent="0.3">
      <c r="A1841" t="s">
        <v>1199</v>
      </c>
      <c r="B1841">
        <v>73723.899999999994</v>
      </c>
      <c r="C1841">
        <v>18</v>
      </c>
      <c r="D1841">
        <v>0.99473800000000001</v>
      </c>
      <c r="E1841">
        <v>1</v>
      </c>
    </row>
    <row r="1842" spans="1:5" x14ac:dyDescent="0.3">
      <c r="A1842" t="s">
        <v>1876</v>
      </c>
      <c r="B1842">
        <v>813.53</v>
      </c>
      <c r="C1842">
        <v>8</v>
      </c>
      <c r="D1842">
        <v>0.99055700000000002</v>
      </c>
      <c r="E1842">
        <v>0.81923500000000005</v>
      </c>
    </row>
    <row r="1843" spans="1:5" x14ac:dyDescent="0.3">
      <c r="A1843" t="s">
        <v>220</v>
      </c>
      <c r="B1843">
        <v>50810.080000000002</v>
      </c>
      <c r="C1843">
        <v>26</v>
      </c>
      <c r="D1843">
        <v>0.99759699999999996</v>
      </c>
      <c r="E1843" t="s">
        <v>1414</v>
      </c>
    </row>
    <row r="1844" spans="1:5" x14ac:dyDescent="0.3">
      <c r="A1844" t="s">
        <v>2199</v>
      </c>
      <c r="B1844">
        <v>55252.45</v>
      </c>
      <c r="C1844">
        <v>17</v>
      </c>
      <c r="D1844">
        <v>1</v>
      </c>
      <c r="E1844" t="s">
        <v>1414</v>
      </c>
    </row>
    <row r="1845" spans="1:5" x14ac:dyDescent="0.3">
      <c r="A1845" t="s">
        <v>378</v>
      </c>
      <c r="B1845">
        <v>38213.49</v>
      </c>
      <c r="C1845">
        <v>20</v>
      </c>
      <c r="D1845">
        <v>0.99670099999999995</v>
      </c>
      <c r="E1845">
        <v>0.956812</v>
      </c>
    </row>
    <row r="1846" spans="1:5" x14ac:dyDescent="0.3">
      <c r="A1846" t="s">
        <v>1200</v>
      </c>
      <c r="B1846">
        <v>-51285.26</v>
      </c>
      <c r="C1846">
        <v>22</v>
      </c>
      <c r="D1846">
        <v>0.944052</v>
      </c>
      <c r="E1846">
        <v>0.25016300000000002</v>
      </c>
    </row>
    <row r="1847" spans="1:5" x14ac:dyDescent="0.3">
      <c r="A1847" t="s">
        <v>2200</v>
      </c>
      <c r="B1847">
        <v>5308.78999999998</v>
      </c>
      <c r="C1847">
        <v>9</v>
      </c>
      <c r="D1847">
        <v>1</v>
      </c>
      <c r="E1847" t="s">
        <v>1414</v>
      </c>
    </row>
    <row r="1848" spans="1:5" x14ac:dyDescent="0.3">
      <c r="A1848" t="s">
        <v>2201</v>
      </c>
      <c r="B1848">
        <v>47535</v>
      </c>
      <c r="C1848">
        <v>4</v>
      </c>
      <c r="D1848" t="s">
        <v>1414</v>
      </c>
      <c r="E1848" t="s">
        <v>1414</v>
      </c>
    </row>
    <row r="1849" spans="1:5" x14ac:dyDescent="0.3">
      <c r="A1849" t="s">
        <v>1877</v>
      </c>
      <c r="B1849">
        <v>18968.55</v>
      </c>
      <c r="C1849">
        <v>15</v>
      </c>
      <c r="D1849">
        <v>1</v>
      </c>
      <c r="E1849" t="s">
        <v>1414</v>
      </c>
    </row>
    <row r="1850" spans="1:5" x14ac:dyDescent="0.3">
      <c r="A1850" t="s">
        <v>1218</v>
      </c>
      <c r="B1850">
        <v>240204.02</v>
      </c>
      <c r="C1850">
        <v>30</v>
      </c>
      <c r="D1850">
        <v>1</v>
      </c>
      <c r="E1850">
        <v>1</v>
      </c>
    </row>
    <row r="1851" spans="1:5" x14ac:dyDescent="0.3">
      <c r="A1851" t="s">
        <v>2202</v>
      </c>
      <c r="B1851">
        <v>61667.81</v>
      </c>
      <c r="C1851">
        <v>13</v>
      </c>
      <c r="D1851">
        <v>0.99914099999999995</v>
      </c>
      <c r="E1851" t="s">
        <v>1414</v>
      </c>
    </row>
    <row r="1852" spans="1:5" x14ac:dyDescent="0.3">
      <c r="A1852" t="s">
        <v>221</v>
      </c>
      <c r="B1852">
        <v>239319.73</v>
      </c>
      <c r="C1852">
        <v>21</v>
      </c>
      <c r="D1852">
        <v>0.99621499999999996</v>
      </c>
      <c r="E1852">
        <v>1</v>
      </c>
    </row>
    <row r="1853" spans="1:5" x14ac:dyDescent="0.3">
      <c r="A1853" t="s">
        <v>890</v>
      </c>
      <c r="B1853">
        <v>62765.42</v>
      </c>
      <c r="C1853">
        <v>24</v>
      </c>
      <c r="D1853">
        <v>1</v>
      </c>
      <c r="E1853">
        <v>1</v>
      </c>
    </row>
    <row r="1854" spans="1:5" x14ac:dyDescent="0.3">
      <c r="A1854" t="s">
        <v>296</v>
      </c>
      <c r="B1854">
        <v>-137565.18</v>
      </c>
      <c r="C1854">
        <v>33</v>
      </c>
      <c r="D1854">
        <v>0.96536100000000002</v>
      </c>
      <c r="E1854">
        <v>0.68854000000000004</v>
      </c>
    </row>
    <row r="1855" spans="1:5" x14ac:dyDescent="0.3">
      <c r="A1855" t="s">
        <v>1259</v>
      </c>
      <c r="B1855">
        <v>39458.550000000003</v>
      </c>
      <c r="C1855">
        <v>19</v>
      </c>
      <c r="D1855">
        <v>1</v>
      </c>
      <c r="E1855">
        <v>1</v>
      </c>
    </row>
    <row r="1856" spans="1:5" x14ac:dyDescent="0.3">
      <c r="A1856" t="s">
        <v>1277</v>
      </c>
      <c r="B1856">
        <v>-171466.41</v>
      </c>
      <c r="C1856">
        <v>10</v>
      </c>
      <c r="D1856">
        <v>0.99725200000000003</v>
      </c>
      <c r="E1856">
        <v>0</v>
      </c>
    </row>
    <row r="1857" spans="1:5" x14ac:dyDescent="0.3">
      <c r="A1857" t="s">
        <v>297</v>
      </c>
      <c r="B1857">
        <v>43126.23</v>
      </c>
      <c r="C1857">
        <v>17</v>
      </c>
      <c r="D1857">
        <v>1</v>
      </c>
      <c r="E1857">
        <v>1</v>
      </c>
    </row>
    <row r="1858" spans="1:5" x14ac:dyDescent="0.3">
      <c r="A1858" t="s">
        <v>1624</v>
      </c>
      <c r="B1858">
        <v>20536.89</v>
      </c>
      <c r="C1858">
        <v>5</v>
      </c>
      <c r="D1858">
        <v>0.99454799999999999</v>
      </c>
      <c r="E1858">
        <v>0</v>
      </c>
    </row>
    <row r="1859" spans="1:5" x14ac:dyDescent="0.3">
      <c r="A1859" t="s">
        <v>810</v>
      </c>
      <c r="B1859">
        <v>-49810.99</v>
      </c>
      <c r="C1859">
        <v>33</v>
      </c>
      <c r="D1859">
        <v>0.96929500000000002</v>
      </c>
      <c r="E1859">
        <v>0</v>
      </c>
    </row>
    <row r="1860" spans="1:5" x14ac:dyDescent="0.3">
      <c r="A1860" t="s">
        <v>2203</v>
      </c>
      <c r="B1860">
        <v>-265486.34000000003</v>
      </c>
      <c r="C1860">
        <v>8</v>
      </c>
      <c r="D1860">
        <v>0.99943400000000004</v>
      </c>
      <c r="E1860">
        <v>0.86809499999999995</v>
      </c>
    </row>
    <row r="1861" spans="1:5" x14ac:dyDescent="0.3">
      <c r="A1861" t="s">
        <v>811</v>
      </c>
      <c r="B1861">
        <v>-70966.789999999994</v>
      </c>
      <c r="C1861">
        <v>11</v>
      </c>
      <c r="D1861">
        <v>0.99756999999999996</v>
      </c>
      <c r="E1861">
        <v>1</v>
      </c>
    </row>
    <row r="1862" spans="1:5" x14ac:dyDescent="0.3">
      <c r="A1862" t="s">
        <v>1034</v>
      </c>
      <c r="B1862">
        <v>120581.28</v>
      </c>
      <c r="C1862">
        <v>30</v>
      </c>
      <c r="D1862">
        <v>1</v>
      </c>
      <c r="E1862">
        <v>1</v>
      </c>
    </row>
    <row r="1863" spans="1:5" x14ac:dyDescent="0.3">
      <c r="A1863" t="s">
        <v>524</v>
      </c>
      <c r="B1863">
        <v>-248188.9</v>
      </c>
      <c r="C1863">
        <v>9</v>
      </c>
      <c r="D1863">
        <v>0.99706600000000001</v>
      </c>
      <c r="E1863">
        <v>0.69769400000000004</v>
      </c>
    </row>
    <row r="1864" spans="1:5" x14ac:dyDescent="0.3">
      <c r="A1864" t="s">
        <v>1878</v>
      </c>
      <c r="B1864">
        <v>102470.47</v>
      </c>
      <c r="C1864">
        <v>13</v>
      </c>
      <c r="D1864">
        <v>1</v>
      </c>
      <c r="E1864" t="s">
        <v>1414</v>
      </c>
    </row>
    <row r="1865" spans="1:5" x14ac:dyDescent="0.3">
      <c r="A1865" t="s">
        <v>891</v>
      </c>
      <c r="B1865">
        <v>-604025.09</v>
      </c>
      <c r="C1865">
        <v>23</v>
      </c>
      <c r="D1865">
        <v>0.98314800000000002</v>
      </c>
      <c r="E1865">
        <v>1</v>
      </c>
    </row>
    <row r="1866" spans="1:5" x14ac:dyDescent="0.3">
      <c r="A1866" t="s">
        <v>1035</v>
      </c>
      <c r="B1866">
        <v>-103318.16</v>
      </c>
      <c r="C1866">
        <v>13</v>
      </c>
      <c r="D1866">
        <v>0.99476100000000001</v>
      </c>
      <c r="E1866">
        <v>0.46919100000000002</v>
      </c>
    </row>
    <row r="1867" spans="1:5" x14ac:dyDescent="0.3">
      <c r="A1867" t="s">
        <v>1219</v>
      </c>
      <c r="B1867">
        <v>50130.41</v>
      </c>
      <c r="C1867">
        <v>17</v>
      </c>
      <c r="D1867">
        <v>1</v>
      </c>
      <c r="E1867">
        <v>6.2631000000000006E-2</v>
      </c>
    </row>
    <row r="1868" spans="1:5" x14ac:dyDescent="0.3">
      <c r="A1868" t="s">
        <v>1879</v>
      </c>
      <c r="B1868">
        <v>74411.899999999994</v>
      </c>
      <c r="C1868">
        <v>10</v>
      </c>
      <c r="D1868">
        <v>1</v>
      </c>
      <c r="E1868" t="s">
        <v>1414</v>
      </c>
    </row>
    <row r="1869" spans="1:5" x14ac:dyDescent="0.3">
      <c r="A1869" t="s">
        <v>1880</v>
      </c>
      <c r="B1869">
        <v>33688.97</v>
      </c>
      <c r="C1869">
        <v>9</v>
      </c>
      <c r="D1869">
        <v>1</v>
      </c>
      <c r="E1869" t="s">
        <v>1414</v>
      </c>
    </row>
    <row r="1870" spans="1:5" x14ac:dyDescent="0.3">
      <c r="A1870" t="s">
        <v>1201</v>
      </c>
      <c r="B1870">
        <v>-38295.339999999997</v>
      </c>
      <c r="C1870">
        <v>19</v>
      </c>
      <c r="D1870">
        <v>0.98498200000000002</v>
      </c>
      <c r="E1870">
        <v>0</v>
      </c>
    </row>
    <row r="1871" spans="1:5" x14ac:dyDescent="0.3">
      <c r="A1871" t="s">
        <v>892</v>
      </c>
      <c r="B1871">
        <v>68418.350000000006</v>
      </c>
      <c r="C1871">
        <v>15</v>
      </c>
      <c r="D1871">
        <v>0.99931300000000001</v>
      </c>
      <c r="E1871">
        <v>1</v>
      </c>
    </row>
    <row r="1872" spans="1:5" x14ac:dyDescent="0.3">
      <c r="A1872" t="s">
        <v>1881</v>
      </c>
      <c r="B1872">
        <v>68199.06</v>
      </c>
      <c r="C1872">
        <v>16</v>
      </c>
      <c r="D1872">
        <v>0.98833300000000002</v>
      </c>
      <c r="E1872">
        <v>1</v>
      </c>
    </row>
    <row r="1873" spans="1:5" x14ac:dyDescent="0.3">
      <c r="A1873" t="s">
        <v>2204</v>
      </c>
      <c r="B1873">
        <v>-31028.52</v>
      </c>
      <c r="C1873">
        <v>10</v>
      </c>
      <c r="D1873">
        <v>0.99398500000000001</v>
      </c>
      <c r="E1873">
        <v>0.70293000000000005</v>
      </c>
    </row>
    <row r="1874" spans="1:5" x14ac:dyDescent="0.3">
      <c r="A1874" t="s">
        <v>1882</v>
      </c>
      <c r="B1874">
        <v>-41708.239999999998</v>
      </c>
      <c r="C1874">
        <v>44</v>
      </c>
      <c r="D1874">
        <v>0.96253599999999995</v>
      </c>
      <c r="E1874">
        <v>0.934697</v>
      </c>
    </row>
    <row r="1875" spans="1:5" x14ac:dyDescent="0.3">
      <c r="A1875" t="s">
        <v>893</v>
      </c>
      <c r="B1875">
        <v>34984.879999999997</v>
      </c>
      <c r="C1875">
        <v>75</v>
      </c>
      <c r="D1875">
        <v>0.99245300000000003</v>
      </c>
      <c r="E1875">
        <v>0.69234700000000005</v>
      </c>
    </row>
    <row r="1876" spans="1:5" x14ac:dyDescent="0.3">
      <c r="A1876" t="s">
        <v>143</v>
      </c>
      <c r="B1876">
        <v>-32525.77</v>
      </c>
      <c r="C1876">
        <v>14</v>
      </c>
      <c r="D1876">
        <v>0.98008700000000004</v>
      </c>
      <c r="E1876">
        <v>0.79189900000000002</v>
      </c>
    </row>
    <row r="1877" spans="1:5" x14ac:dyDescent="0.3">
      <c r="A1877" t="s">
        <v>1625</v>
      </c>
      <c r="B1877">
        <v>227763.64</v>
      </c>
      <c r="C1877">
        <v>16</v>
      </c>
      <c r="D1877">
        <v>1</v>
      </c>
      <c r="E1877" t="s">
        <v>1414</v>
      </c>
    </row>
    <row r="1878" spans="1:5" x14ac:dyDescent="0.3">
      <c r="A1878" t="s">
        <v>2003</v>
      </c>
      <c r="B1878">
        <v>23897.839999999898</v>
      </c>
      <c r="C1878">
        <v>15</v>
      </c>
      <c r="D1878">
        <v>0.90900800000000004</v>
      </c>
      <c r="E1878">
        <v>4.2342999999999999E-2</v>
      </c>
    </row>
    <row r="1879" spans="1:5" x14ac:dyDescent="0.3">
      <c r="A1879" t="s">
        <v>1626</v>
      </c>
      <c r="B1879">
        <v>37203.39</v>
      </c>
      <c r="C1879">
        <v>42</v>
      </c>
      <c r="D1879">
        <v>1</v>
      </c>
      <c r="E1879" t="s">
        <v>1414</v>
      </c>
    </row>
    <row r="1880" spans="1:5" x14ac:dyDescent="0.3">
      <c r="A1880" t="s">
        <v>2205</v>
      </c>
      <c r="B1880">
        <v>-42621.1</v>
      </c>
      <c r="C1880">
        <v>7</v>
      </c>
      <c r="D1880">
        <v>0.99485100000000004</v>
      </c>
      <c r="E1880">
        <v>0.439942</v>
      </c>
    </row>
    <row r="1881" spans="1:5" x14ac:dyDescent="0.3">
      <c r="A1881" t="s">
        <v>1202</v>
      </c>
      <c r="B1881">
        <v>129053.67</v>
      </c>
      <c r="C1881">
        <v>23</v>
      </c>
      <c r="D1881">
        <v>0.99983900000000003</v>
      </c>
      <c r="E1881">
        <v>0.84192900000000004</v>
      </c>
    </row>
    <row r="1882" spans="1:5" x14ac:dyDescent="0.3">
      <c r="A1882" t="s">
        <v>1278</v>
      </c>
      <c r="B1882">
        <v>-30517.66</v>
      </c>
      <c r="C1882">
        <v>12</v>
      </c>
      <c r="D1882">
        <v>0.99962600000000001</v>
      </c>
      <c r="E1882">
        <v>0.29200199999999998</v>
      </c>
    </row>
    <row r="1883" spans="1:5" x14ac:dyDescent="0.3">
      <c r="A1883" t="s">
        <v>444</v>
      </c>
      <c r="B1883">
        <v>52768.46</v>
      </c>
      <c r="C1883">
        <v>30</v>
      </c>
      <c r="D1883">
        <v>0.99934299999999998</v>
      </c>
      <c r="E1883">
        <v>0.67824799999999996</v>
      </c>
    </row>
    <row r="1884" spans="1:5" x14ac:dyDescent="0.3">
      <c r="A1884" t="s">
        <v>445</v>
      </c>
      <c r="B1884">
        <v>70344.399999999994</v>
      </c>
      <c r="C1884">
        <v>13</v>
      </c>
      <c r="D1884">
        <v>1</v>
      </c>
      <c r="E1884">
        <v>1</v>
      </c>
    </row>
    <row r="1885" spans="1:5" x14ac:dyDescent="0.3">
      <c r="A1885" t="s">
        <v>738</v>
      </c>
      <c r="B1885">
        <v>-11802.32</v>
      </c>
      <c r="C1885">
        <v>13</v>
      </c>
      <c r="D1885">
        <v>0.99786900000000001</v>
      </c>
      <c r="E1885">
        <v>0.92005999999999999</v>
      </c>
    </row>
    <row r="1886" spans="1:5" x14ac:dyDescent="0.3">
      <c r="A1886" t="s">
        <v>1627</v>
      </c>
      <c r="B1886">
        <v>136986.57999999999</v>
      </c>
      <c r="C1886">
        <v>19</v>
      </c>
      <c r="D1886">
        <v>1</v>
      </c>
      <c r="E1886" t="s">
        <v>1414</v>
      </c>
    </row>
    <row r="1887" spans="1:5" x14ac:dyDescent="0.3">
      <c r="A1887" t="s">
        <v>739</v>
      </c>
      <c r="B1887">
        <v>59962.05</v>
      </c>
      <c r="C1887">
        <v>14</v>
      </c>
      <c r="D1887">
        <v>1</v>
      </c>
      <c r="E1887">
        <v>0.89738899999999999</v>
      </c>
    </row>
    <row r="1888" spans="1:5" x14ac:dyDescent="0.3">
      <c r="A1888" t="s">
        <v>2004</v>
      </c>
      <c r="B1888">
        <v>23270.89</v>
      </c>
      <c r="C1888">
        <v>30</v>
      </c>
      <c r="D1888">
        <v>0.98524400000000001</v>
      </c>
      <c r="E1888" t="s">
        <v>1414</v>
      </c>
    </row>
    <row r="1889" spans="1:5" x14ac:dyDescent="0.3">
      <c r="A1889" t="s">
        <v>967</v>
      </c>
      <c r="B1889">
        <v>-176611.16</v>
      </c>
      <c r="C1889">
        <v>0</v>
      </c>
      <c r="D1889">
        <v>0.976051</v>
      </c>
      <c r="E1889">
        <v>0.56772999999999996</v>
      </c>
    </row>
    <row r="1890" spans="1:5" x14ac:dyDescent="0.3">
      <c r="A1890" t="s">
        <v>1220</v>
      </c>
      <c r="B1890">
        <v>10000</v>
      </c>
      <c r="C1890">
        <v>1</v>
      </c>
      <c r="D1890" t="s">
        <v>1414</v>
      </c>
      <c r="E1890" t="s">
        <v>1414</v>
      </c>
    </row>
    <row r="1891" spans="1:5" x14ac:dyDescent="0.3">
      <c r="A1891" t="s">
        <v>1279</v>
      </c>
      <c r="B1891">
        <v>-15154.6</v>
      </c>
      <c r="C1891">
        <v>42</v>
      </c>
      <c r="D1891">
        <v>0.906107</v>
      </c>
      <c r="E1891">
        <v>0.41651700000000003</v>
      </c>
    </row>
    <row r="1892" spans="1:5" x14ac:dyDescent="0.3">
      <c r="A1892" t="s">
        <v>2206</v>
      </c>
      <c r="B1892">
        <v>20541</v>
      </c>
      <c r="C1892">
        <v>4</v>
      </c>
      <c r="D1892" t="s">
        <v>1414</v>
      </c>
      <c r="E1892" t="s">
        <v>1414</v>
      </c>
    </row>
    <row r="1893" spans="1:5" x14ac:dyDescent="0.3">
      <c r="A1893" t="s">
        <v>1883</v>
      </c>
      <c r="B1893">
        <v>-6760.44</v>
      </c>
      <c r="C1893">
        <v>1</v>
      </c>
      <c r="D1893">
        <v>1</v>
      </c>
      <c r="E1893" t="s">
        <v>1414</v>
      </c>
    </row>
    <row r="1894" spans="1:5" x14ac:dyDescent="0.3">
      <c r="A1894" t="s">
        <v>894</v>
      </c>
      <c r="B1894">
        <v>90986.48</v>
      </c>
      <c r="C1894">
        <v>20</v>
      </c>
      <c r="D1894">
        <v>0.98476200000000003</v>
      </c>
      <c r="E1894">
        <v>8.4847000000000006E-2</v>
      </c>
    </row>
    <row r="1895" spans="1:5" x14ac:dyDescent="0.3">
      <c r="A1895" t="s">
        <v>1628</v>
      </c>
      <c r="B1895">
        <v>60603.040000000001</v>
      </c>
      <c r="C1895">
        <v>42</v>
      </c>
      <c r="D1895">
        <v>0.97965800000000003</v>
      </c>
      <c r="E1895">
        <v>0.94047099999999995</v>
      </c>
    </row>
    <row r="1896" spans="1:5" x14ac:dyDescent="0.3">
      <c r="A1896" t="s">
        <v>1036</v>
      </c>
      <c r="B1896">
        <v>49277.06</v>
      </c>
      <c r="C1896">
        <v>21</v>
      </c>
      <c r="D1896">
        <v>0.99946199999999996</v>
      </c>
      <c r="E1896">
        <v>0.91853799999999997</v>
      </c>
    </row>
    <row r="1897" spans="1:5" x14ac:dyDescent="0.3">
      <c r="A1897" t="s">
        <v>1203</v>
      </c>
      <c r="B1897">
        <v>-201391.51</v>
      </c>
      <c r="C1897">
        <v>19</v>
      </c>
      <c r="D1897">
        <v>0.98635600000000001</v>
      </c>
      <c r="E1897">
        <v>0.303923</v>
      </c>
    </row>
    <row r="1898" spans="1:5" x14ac:dyDescent="0.3">
      <c r="A1898" t="s">
        <v>740</v>
      </c>
      <c r="B1898">
        <v>164675.60999999999</v>
      </c>
      <c r="C1898">
        <v>18</v>
      </c>
      <c r="D1898">
        <v>0.99398299999999995</v>
      </c>
      <c r="E1898">
        <v>0.92026300000000005</v>
      </c>
    </row>
    <row r="1899" spans="1:5" x14ac:dyDescent="0.3">
      <c r="A1899" t="s">
        <v>446</v>
      </c>
      <c r="B1899">
        <v>27553.119999999999</v>
      </c>
      <c r="C1899">
        <v>34</v>
      </c>
      <c r="D1899">
        <v>1</v>
      </c>
      <c r="E1899">
        <v>0.79849400000000004</v>
      </c>
    </row>
    <row r="1900" spans="1:5" x14ac:dyDescent="0.3">
      <c r="A1900" t="s">
        <v>1884</v>
      </c>
      <c r="B1900">
        <v>-35556.410000000003</v>
      </c>
      <c r="C1900">
        <v>10</v>
      </c>
      <c r="D1900">
        <v>0.94140800000000002</v>
      </c>
      <c r="E1900">
        <v>0.27863599999999999</v>
      </c>
    </row>
    <row r="1901" spans="1:5" x14ac:dyDescent="0.3">
      <c r="A1901" t="s">
        <v>2005</v>
      </c>
      <c r="B1901">
        <v>-157692.76</v>
      </c>
      <c r="C1901">
        <v>9</v>
      </c>
      <c r="D1901">
        <v>0.97554700000000005</v>
      </c>
      <c r="E1901">
        <v>1</v>
      </c>
    </row>
    <row r="1902" spans="1:5" x14ac:dyDescent="0.3">
      <c r="A1902" t="s">
        <v>1037</v>
      </c>
      <c r="B1902">
        <v>152986.29999999999</v>
      </c>
      <c r="C1902">
        <v>32</v>
      </c>
      <c r="D1902">
        <v>0.99801799999999996</v>
      </c>
      <c r="E1902">
        <v>1</v>
      </c>
    </row>
    <row r="1903" spans="1:5" x14ac:dyDescent="0.3">
      <c r="A1903" t="s">
        <v>379</v>
      </c>
      <c r="B1903">
        <v>13219.31</v>
      </c>
      <c r="C1903">
        <v>24</v>
      </c>
      <c r="D1903">
        <v>0.99634699999999998</v>
      </c>
      <c r="E1903">
        <v>0.97681700000000005</v>
      </c>
    </row>
    <row r="1904" spans="1:5" x14ac:dyDescent="0.3">
      <c r="A1904" t="s">
        <v>1629</v>
      </c>
      <c r="B1904">
        <v>43467.67</v>
      </c>
      <c r="C1904">
        <v>14</v>
      </c>
      <c r="D1904">
        <v>0.991004</v>
      </c>
      <c r="E1904">
        <v>1</v>
      </c>
    </row>
    <row r="1905" spans="1:5" x14ac:dyDescent="0.3">
      <c r="A1905" t="s">
        <v>2006</v>
      </c>
      <c r="B1905">
        <v>81230.179999999993</v>
      </c>
      <c r="C1905">
        <v>8</v>
      </c>
      <c r="D1905">
        <v>1</v>
      </c>
      <c r="E1905">
        <v>1</v>
      </c>
    </row>
    <row r="1906" spans="1:5" x14ac:dyDescent="0.3">
      <c r="A1906" t="s">
        <v>1630</v>
      </c>
      <c r="B1906">
        <v>133264.57999999999</v>
      </c>
      <c r="C1906">
        <v>157</v>
      </c>
      <c r="D1906">
        <v>0.95321999999999996</v>
      </c>
      <c r="E1906">
        <v>0.79616600000000004</v>
      </c>
    </row>
    <row r="1907" spans="1:5" x14ac:dyDescent="0.3">
      <c r="A1907" t="s">
        <v>2207</v>
      </c>
      <c r="B1907">
        <v>15281.92</v>
      </c>
      <c r="C1907">
        <v>9</v>
      </c>
      <c r="D1907">
        <v>1</v>
      </c>
      <c r="E1907" t="s">
        <v>1414</v>
      </c>
    </row>
    <row r="1908" spans="1:5" x14ac:dyDescent="0.3">
      <c r="A1908" t="s">
        <v>144</v>
      </c>
      <c r="B1908">
        <v>-121.15</v>
      </c>
      <c r="C1908">
        <v>0</v>
      </c>
      <c r="D1908">
        <v>1</v>
      </c>
      <c r="E1908" t="s">
        <v>1414</v>
      </c>
    </row>
    <row r="1909" spans="1:5" x14ac:dyDescent="0.3">
      <c r="A1909" t="s">
        <v>1885</v>
      </c>
      <c r="B1909">
        <v>123486.32</v>
      </c>
      <c r="C1909">
        <v>19</v>
      </c>
      <c r="D1909">
        <v>1</v>
      </c>
      <c r="E1909" t="s">
        <v>1414</v>
      </c>
    </row>
    <row r="1910" spans="1:5" x14ac:dyDescent="0.3">
      <c r="A1910" t="s">
        <v>1273</v>
      </c>
      <c r="B1910">
        <v>38959.68</v>
      </c>
      <c r="C1910">
        <v>24</v>
      </c>
      <c r="D1910">
        <v>0.99310900000000002</v>
      </c>
      <c r="E1910">
        <v>1</v>
      </c>
    </row>
    <row r="1911" spans="1:5" x14ac:dyDescent="0.3">
      <c r="A1911" t="s">
        <v>1038</v>
      </c>
      <c r="B1911">
        <v>-217204.84</v>
      </c>
      <c r="C1911">
        <v>0</v>
      </c>
      <c r="D1911">
        <v>0.98029699999999997</v>
      </c>
      <c r="E1911">
        <v>0</v>
      </c>
    </row>
    <row r="1912" spans="1:5" x14ac:dyDescent="0.3">
      <c r="A1912" t="s">
        <v>895</v>
      </c>
      <c r="B1912">
        <v>18409.259999999998</v>
      </c>
      <c r="C1912">
        <v>31</v>
      </c>
      <c r="D1912">
        <v>0.99496099999999998</v>
      </c>
      <c r="E1912">
        <v>0.82970699999999997</v>
      </c>
    </row>
    <row r="1913" spans="1:5" x14ac:dyDescent="0.3">
      <c r="A1913" t="s">
        <v>2007</v>
      </c>
      <c r="B1913">
        <v>123226.98</v>
      </c>
      <c r="C1913">
        <v>15</v>
      </c>
      <c r="D1913">
        <v>1</v>
      </c>
      <c r="E1913" t="s">
        <v>1414</v>
      </c>
    </row>
    <row r="1914" spans="1:5" x14ac:dyDescent="0.3">
      <c r="A1914" t="s">
        <v>896</v>
      </c>
      <c r="B1914">
        <v>-190371.28</v>
      </c>
      <c r="C1914">
        <v>12</v>
      </c>
      <c r="D1914">
        <v>0.98350499999999996</v>
      </c>
      <c r="E1914">
        <v>1</v>
      </c>
    </row>
    <row r="1915" spans="1:5" x14ac:dyDescent="0.3">
      <c r="A1915" t="s">
        <v>1631</v>
      </c>
      <c r="B1915">
        <v>-44248.83</v>
      </c>
      <c r="C1915">
        <v>0</v>
      </c>
      <c r="D1915">
        <v>0.98703700000000005</v>
      </c>
      <c r="E1915" t="s">
        <v>1414</v>
      </c>
    </row>
    <row r="1916" spans="1:5" x14ac:dyDescent="0.3">
      <c r="A1916" t="s">
        <v>1280</v>
      </c>
      <c r="B1916">
        <v>46809.13</v>
      </c>
      <c r="C1916">
        <v>18</v>
      </c>
      <c r="D1916">
        <v>0.99983699999999998</v>
      </c>
      <c r="E1916">
        <v>0.141987</v>
      </c>
    </row>
    <row r="1917" spans="1:5" x14ac:dyDescent="0.3">
      <c r="A1917" t="s">
        <v>2208</v>
      </c>
      <c r="B1917">
        <v>42061.54</v>
      </c>
      <c r="C1917">
        <v>9</v>
      </c>
      <c r="D1917">
        <v>1</v>
      </c>
      <c r="E1917" t="s">
        <v>1414</v>
      </c>
    </row>
    <row r="1918" spans="1:5" x14ac:dyDescent="0.3">
      <c r="A1918" t="s">
        <v>2008</v>
      </c>
      <c r="B1918">
        <v>-4977.46</v>
      </c>
      <c r="C1918">
        <v>10</v>
      </c>
      <c r="D1918">
        <v>1</v>
      </c>
      <c r="E1918" t="s">
        <v>1414</v>
      </c>
    </row>
    <row r="1919" spans="1:5" x14ac:dyDescent="0.3">
      <c r="A1919" t="s">
        <v>2009</v>
      </c>
      <c r="B1919">
        <v>-52643.3</v>
      </c>
      <c r="C1919">
        <v>0</v>
      </c>
      <c r="D1919">
        <v>0.97282100000000005</v>
      </c>
      <c r="E1919">
        <v>0.18989900000000001</v>
      </c>
    </row>
    <row r="1920" spans="1:5" x14ac:dyDescent="0.3">
      <c r="A1920" t="s">
        <v>1281</v>
      </c>
      <c r="B1920">
        <v>17429.29</v>
      </c>
      <c r="C1920">
        <v>20</v>
      </c>
      <c r="D1920">
        <v>1</v>
      </c>
      <c r="E1920">
        <v>0.19478200000000001</v>
      </c>
    </row>
    <row r="1921" spans="1:5" x14ac:dyDescent="0.3">
      <c r="A1921" t="s">
        <v>222</v>
      </c>
      <c r="B1921">
        <v>25423.25</v>
      </c>
      <c r="C1921">
        <v>20</v>
      </c>
      <c r="D1921">
        <v>1</v>
      </c>
      <c r="E1921" t="s">
        <v>1414</v>
      </c>
    </row>
    <row r="1922" spans="1:5" x14ac:dyDescent="0.3">
      <c r="A1922" t="s">
        <v>812</v>
      </c>
      <c r="B1922">
        <v>-144614.21</v>
      </c>
      <c r="C1922">
        <v>12</v>
      </c>
      <c r="D1922">
        <v>0.97291000000000005</v>
      </c>
      <c r="E1922">
        <v>1</v>
      </c>
    </row>
    <row r="1923" spans="1:5" x14ac:dyDescent="0.3">
      <c r="A1923" t="s">
        <v>380</v>
      </c>
      <c r="B1923">
        <v>-96921.07</v>
      </c>
      <c r="C1923">
        <v>0</v>
      </c>
      <c r="D1923">
        <v>0.97454300000000005</v>
      </c>
      <c r="E1923">
        <v>0</v>
      </c>
    </row>
    <row r="1924" spans="1:5" x14ac:dyDescent="0.3">
      <c r="A1924" t="s">
        <v>1274</v>
      </c>
      <c r="B1924">
        <v>-162044.94</v>
      </c>
      <c r="C1924">
        <v>20</v>
      </c>
      <c r="D1924">
        <v>0.94583099999999998</v>
      </c>
      <c r="E1924">
        <v>2.5035999999999999E-2</v>
      </c>
    </row>
    <row r="1925" spans="1:5" x14ac:dyDescent="0.3">
      <c r="A1925" t="s">
        <v>223</v>
      </c>
      <c r="B1925">
        <v>41460.410000000003</v>
      </c>
      <c r="C1925">
        <v>16</v>
      </c>
      <c r="D1925">
        <v>1</v>
      </c>
      <c r="E1925">
        <v>0.93782799999999999</v>
      </c>
    </row>
    <row r="1926" spans="1:5" x14ac:dyDescent="0.3">
      <c r="A1926" t="s">
        <v>1221</v>
      </c>
      <c r="B1926">
        <v>60248.82</v>
      </c>
      <c r="C1926">
        <v>17</v>
      </c>
      <c r="D1926">
        <v>0.99560099999999996</v>
      </c>
      <c r="E1926">
        <v>0.80865600000000004</v>
      </c>
    </row>
    <row r="1927" spans="1:5" x14ac:dyDescent="0.3">
      <c r="A1927" t="s">
        <v>1886</v>
      </c>
      <c r="B1927">
        <v>19343.330000000002</v>
      </c>
      <c r="C1927">
        <v>35</v>
      </c>
      <c r="D1927">
        <v>0.97454799999999997</v>
      </c>
      <c r="E1927" t="s">
        <v>1414</v>
      </c>
    </row>
    <row r="1928" spans="1:5" x14ac:dyDescent="0.3">
      <c r="A1928" t="s">
        <v>897</v>
      </c>
      <c r="B1928">
        <v>-232532.2</v>
      </c>
      <c r="C1928">
        <v>0</v>
      </c>
      <c r="D1928">
        <v>1</v>
      </c>
      <c r="E1928" t="s">
        <v>1414</v>
      </c>
    </row>
    <row r="1929" spans="1:5" x14ac:dyDescent="0.3">
      <c r="A1929" t="s">
        <v>1226</v>
      </c>
      <c r="B1929">
        <v>-166534.18</v>
      </c>
      <c r="C1929">
        <v>11</v>
      </c>
      <c r="D1929">
        <v>0.97260500000000005</v>
      </c>
      <c r="E1929">
        <v>0.13311700000000001</v>
      </c>
    </row>
    <row r="1930" spans="1:5" x14ac:dyDescent="0.3">
      <c r="A1930" t="s">
        <v>447</v>
      </c>
      <c r="B1930">
        <v>87080.25</v>
      </c>
      <c r="C1930">
        <v>24</v>
      </c>
      <c r="D1930">
        <v>0.96977000000000002</v>
      </c>
      <c r="E1930" t="s">
        <v>1414</v>
      </c>
    </row>
    <row r="1931" spans="1:5" x14ac:dyDescent="0.3">
      <c r="A1931" t="s">
        <v>1238</v>
      </c>
      <c r="B1931">
        <v>30833.9</v>
      </c>
      <c r="C1931">
        <v>27</v>
      </c>
      <c r="D1931">
        <v>0.99651199999999995</v>
      </c>
      <c r="E1931">
        <v>0.43813999999999997</v>
      </c>
    </row>
    <row r="1932" spans="1:5" x14ac:dyDescent="0.3">
      <c r="A1932" t="s">
        <v>898</v>
      </c>
      <c r="B1932">
        <v>141107.60999999999</v>
      </c>
      <c r="C1932">
        <v>22</v>
      </c>
      <c r="D1932">
        <v>1</v>
      </c>
      <c r="E1932">
        <v>1</v>
      </c>
    </row>
    <row r="1933" spans="1:5" x14ac:dyDescent="0.3">
      <c r="A1933" t="s">
        <v>2209</v>
      </c>
      <c r="B1933">
        <v>40599</v>
      </c>
      <c r="C1933">
        <v>6</v>
      </c>
      <c r="D1933" t="s">
        <v>1414</v>
      </c>
      <c r="E1933" t="s">
        <v>1414</v>
      </c>
    </row>
    <row r="1934" spans="1:5" x14ac:dyDescent="0.3">
      <c r="A1934" t="s">
        <v>145</v>
      </c>
      <c r="B1934">
        <v>-112316.49</v>
      </c>
      <c r="C1934">
        <v>9</v>
      </c>
      <c r="D1934">
        <v>0.98399400000000004</v>
      </c>
      <c r="E1934">
        <v>0.93517499999999998</v>
      </c>
    </row>
    <row r="1935" spans="1:5" x14ac:dyDescent="0.3">
      <c r="A1935" t="s">
        <v>1632</v>
      </c>
      <c r="B1935">
        <v>144742.12</v>
      </c>
      <c r="C1935">
        <v>15</v>
      </c>
      <c r="D1935">
        <v>0.99911799999999995</v>
      </c>
      <c r="E1935">
        <v>1</v>
      </c>
    </row>
    <row r="1936" spans="1:5" x14ac:dyDescent="0.3">
      <c r="A1936" t="s">
        <v>1039</v>
      </c>
      <c r="B1936">
        <v>111850.57</v>
      </c>
      <c r="C1936">
        <v>19</v>
      </c>
      <c r="D1936">
        <v>1</v>
      </c>
      <c r="E1936">
        <v>1</v>
      </c>
    </row>
    <row r="1937" spans="1:5" x14ac:dyDescent="0.3">
      <c r="A1937" t="s">
        <v>1887</v>
      </c>
      <c r="B1937">
        <v>-70095.710000000006</v>
      </c>
      <c r="C1937">
        <v>10</v>
      </c>
      <c r="D1937">
        <v>0.97458199999999995</v>
      </c>
      <c r="E1937">
        <v>1</v>
      </c>
    </row>
    <row r="1938" spans="1:5" x14ac:dyDescent="0.3">
      <c r="A1938" t="s">
        <v>968</v>
      </c>
      <c r="B1938">
        <v>61536.52</v>
      </c>
      <c r="C1938">
        <v>27</v>
      </c>
      <c r="D1938">
        <v>0.98924299999999998</v>
      </c>
      <c r="E1938">
        <v>0.91732899999999995</v>
      </c>
    </row>
    <row r="1939" spans="1:5" x14ac:dyDescent="0.3">
      <c r="A1939" t="s">
        <v>1282</v>
      </c>
      <c r="B1939">
        <v>-42818.97</v>
      </c>
      <c r="C1939">
        <v>30</v>
      </c>
      <c r="D1939">
        <v>0.96060699999999999</v>
      </c>
      <c r="E1939">
        <v>0.42161300000000002</v>
      </c>
    </row>
    <row r="1940" spans="1:5" x14ac:dyDescent="0.3">
      <c r="A1940" t="s">
        <v>2210</v>
      </c>
      <c r="B1940">
        <v>4209.62</v>
      </c>
      <c r="C1940">
        <v>19</v>
      </c>
      <c r="D1940">
        <v>0.97767000000000004</v>
      </c>
      <c r="E1940">
        <v>0.78784900000000002</v>
      </c>
    </row>
    <row r="1941" spans="1:5" x14ac:dyDescent="0.3">
      <c r="A1941" t="s">
        <v>2010</v>
      </c>
      <c r="B1941">
        <v>-25804.52</v>
      </c>
      <c r="C1941">
        <v>10</v>
      </c>
      <c r="D1941">
        <v>0.94925300000000001</v>
      </c>
      <c r="E1941">
        <v>0</v>
      </c>
    </row>
    <row r="1942" spans="1:5" x14ac:dyDescent="0.3">
      <c r="A1942" t="s">
        <v>2211</v>
      </c>
      <c r="B1942">
        <v>25967.1</v>
      </c>
      <c r="C1942">
        <v>19</v>
      </c>
      <c r="D1942">
        <v>0.99969799999999998</v>
      </c>
      <c r="E1942">
        <v>1</v>
      </c>
    </row>
    <row r="1943" spans="1:5" x14ac:dyDescent="0.3">
      <c r="A1943" t="s">
        <v>1239</v>
      </c>
      <c r="B1943">
        <v>-135342.82</v>
      </c>
      <c r="C1943">
        <v>11</v>
      </c>
      <c r="D1943">
        <v>0.94081199999999998</v>
      </c>
      <c r="E1943">
        <v>0.94827700000000004</v>
      </c>
    </row>
    <row r="1944" spans="1:5" x14ac:dyDescent="0.3">
      <c r="A1944" t="s">
        <v>1275</v>
      </c>
      <c r="B1944">
        <v>107584.55</v>
      </c>
      <c r="C1944">
        <v>27</v>
      </c>
      <c r="D1944">
        <v>1</v>
      </c>
      <c r="E1944">
        <v>1</v>
      </c>
    </row>
    <row r="1945" spans="1:5" x14ac:dyDescent="0.3">
      <c r="A1945" t="s">
        <v>741</v>
      </c>
      <c r="B1945">
        <v>99791.82</v>
      </c>
      <c r="C1945">
        <v>25</v>
      </c>
      <c r="D1945">
        <v>0.99345799999999995</v>
      </c>
      <c r="E1945">
        <v>0.85511300000000001</v>
      </c>
    </row>
    <row r="1946" spans="1:5" x14ac:dyDescent="0.3">
      <c r="A1946" t="s">
        <v>1214</v>
      </c>
      <c r="B1946">
        <v>61528.02</v>
      </c>
      <c r="C1946">
        <v>18</v>
      </c>
      <c r="D1946">
        <v>1</v>
      </c>
      <c r="E1946">
        <v>1</v>
      </c>
    </row>
    <row r="1947" spans="1:5" x14ac:dyDescent="0.3">
      <c r="A1947" t="s">
        <v>969</v>
      </c>
      <c r="B1947">
        <v>17342.54</v>
      </c>
      <c r="C1947">
        <v>16</v>
      </c>
      <c r="D1947">
        <v>0.99758100000000005</v>
      </c>
      <c r="E1947">
        <v>0.77956300000000001</v>
      </c>
    </row>
    <row r="1948" spans="1:5" x14ac:dyDescent="0.3">
      <c r="A1948" t="s">
        <v>2212</v>
      </c>
      <c r="B1948">
        <v>8900</v>
      </c>
      <c r="C1948">
        <v>10</v>
      </c>
      <c r="D1948" t="s">
        <v>1414</v>
      </c>
      <c r="E1948" t="s">
        <v>1414</v>
      </c>
    </row>
    <row r="1949" spans="1:5" x14ac:dyDescent="0.3">
      <c r="A1949" t="s">
        <v>1227</v>
      </c>
      <c r="B1949">
        <v>43618.54</v>
      </c>
      <c r="C1949">
        <v>22</v>
      </c>
      <c r="D1949">
        <v>0.99711899999999998</v>
      </c>
      <c r="E1949">
        <v>1</v>
      </c>
    </row>
    <row r="1950" spans="1:5" x14ac:dyDescent="0.3">
      <c r="A1950" t="s">
        <v>970</v>
      </c>
      <c r="B1950">
        <v>-56722.52</v>
      </c>
      <c r="C1950">
        <v>20</v>
      </c>
      <c r="D1950">
        <v>0.950936</v>
      </c>
      <c r="E1950">
        <v>0.53713200000000005</v>
      </c>
    </row>
    <row r="1951" spans="1:5" x14ac:dyDescent="0.3">
      <c r="A1951" t="s">
        <v>899</v>
      </c>
      <c r="B1951">
        <v>-232919.23</v>
      </c>
      <c r="C1951">
        <v>0</v>
      </c>
      <c r="D1951">
        <v>0.992116</v>
      </c>
      <c r="E1951">
        <v>0.26445200000000002</v>
      </c>
    </row>
    <row r="1952" spans="1:5" x14ac:dyDescent="0.3">
      <c r="A1952" t="s">
        <v>1228</v>
      </c>
      <c r="B1952">
        <v>71299.070000000007</v>
      </c>
      <c r="C1952">
        <v>24</v>
      </c>
      <c r="D1952">
        <v>0.98927799999999999</v>
      </c>
      <c r="E1952">
        <v>0.98126999999999998</v>
      </c>
    </row>
    <row r="1953" spans="1:5" x14ac:dyDescent="0.3">
      <c r="A1953" t="s">
        <v>2213</v>
      </c>
      <c r="B1953">
        <v>4779.7</v>
      </c>
      <c r="C1953">
        <v>20</v>
      </c>
      <c r="D1953">
        <v>1</v>
      </c>
      <c r="E1953" t="s">
        <v>1414</v>
      </c>
    </row>
    <row r="1954" spans="1:5" x14ac:dyDescent="0.3">
      <c r="A1954" t="s">
        <v>1888</v>
      </c>
      <c r="B1954">
        <v>25541.4</v>
      </c>
      <c r="C1954">
        <v>12</v>
      </c>
      <c r="D1954">
        <v>0.96297500000000003</v>
      </c>
      <c r="E1954">
        <v>0.130352</v>
      </c>
    </row>
    <row r="1955" spans="1:5" x14ac:dyDescent="0.3">
      <c r="A1955" t="s">
        <v>1633</v>
      </c>
      <c r="B1955">
        <v>-42930.71</v>
      </c>
      <c r="C1955">
        <v>18</v>
      </c>
      <c r="D1955">
        <v>0.98472999999999999</v>
      </c>
      <c r="E1955">
        <v>7.273E-3</v>
      </c>
    </row>
    <row r="1956" spans="1:5" x14ac:dyDescent="0.3">
      <c r="A1956" t="s">
        <v>1229</v>
      </c>
      <c r="B1956">
        <v>10899.59</v>
      </c>
      <c r="C1956">
        <v>23</v>
      </c>
      <c r="D1956">
        <v>0.99838899999999997</v>
      </c>
      <c r="E1956">
        <v>0.56704399999999999</v>
      </c>
    </row>
    <row r="1957" spans="1:5" x14ac:dyDescent="0.3">
      <c r="A1957" t="s">
        <v>1889</v>
      </c>
      <c r="B1957">
        <v>110316.43</v>
      </c>
      <c r="C1957">
        <v>19</v>
      </c>
      <c r="D1957">
        <v>1</v>
      </c>
      <c r="E1957">
        <v>0.98363199999999995</v>
      </c>
    </row>
    <row r="1958" spans="1:5" x14ac:dyDescent="0.3">
      <c r="A1958" t="s">
        <v>1215</v>
      </c>
      <c r="B1958">
        <v>53200.87</v>
      </c>
      <c r="C1958">
        <v>21</v>
      </c>
      <c r="D1958">
        <v>0.99398600000000004</v>
      </c>
      <c r="E1958">
        <v>0.84450199999999997</v>
      </c>
    </row>
    <row r="1959" spans="1:5" x14ac:dyDescent="0.3">
      <c r="A1959" t="s">
        <v>146</v>
      </c>
      <c r="B1959">
        <v>-167758.63</v>
      </c>
      <c r="C1959">
        <v>11</v>
      </c>
      <c r="D1959">
        <v>1</v>
      </c>
      <c r="E1959">
        <v>1</v>
      </c>
    </row>
    <row r="1960" spans="1:5" x14ac:dyDescent="0.3">
      <c r="A1960" t="s">
        <v>448</v>
      </c>
      <c r="B1960">
        <v>220117.84</v>
      </c>
      <c r="C1960">
        <v>31</v>
      </c>
      <c r="D1960">
        <v>0.99077899999999997</v>
      </c>
      <c r="E1960">
        <v>0.84586899999999998</v>
      </c>
    </row>
    <row r="1961" spans="1:5" x14ac:dyDescent="0.3">
      <c r="A1961" t="s">
        <v>742</v>
      </c>
      <c r="B1961">
        <v>-169609.68</v>
      </c>
      <c r="C1961">
        <v>20</v>
      </c>
      <c r="D1961">
        <v>0.98877599999999999</v>
      </c>
      <c r="E1961">
        <v>0.65587799999999996</v>
      </c>
    </row>
    <row r="1962" spans="1:5" x14ac:dyDescent="0.3">
      <c r="A1962" t="s">
        <v>1240</v>
      </c>
      <c r="B1962">
        <v>54543.35</v>
      </c>
      <c r="C1962">
        <v>20</v>
      </c>
      <c r="D1962">
        <v>1</v>
      </c>
      <c r="E1962">
        <v>0.60480999999999996</v>
      </c>
    </row>
    <row r="1963" spans="1:5" x14ac:dyDescent="0.3">
      <c r="A1963" t="s">
        <v>1634</v>
      </c>
      <c r="B1963">
        <v>-218389.4</v>
      </c>
      <c r="C1963">
        <v>12</v>
      </c>
      <c r="D1963">
        <v>1</v>
      </c>
      <c r="E1963">
        <v>0.43258600000000003</v>
      </c>
    </row>
    <row r="1964" spans="1:5" x14ac:dyDescent="0.3">
      <c r="A1964" t="s">
        <v>1890</v>
      </c>
      <c r="B1964">
        <v>224195.4</v>
      </c>
      <c r="C1964">
        <v>20</v>
      </c>
      <c r="D1964">
        <v>1</v>
      </c>
      <c r="E1964" t="s">
        <v>1414</v>
      </c>
    </row>
    <row r="1965" spans="1:5" x14ac:dyDescent="0.3">
      <c r="A1965" t="s">
        <v>2214</v>
      </c>
      <c r="B1965">
        <v>207532.96</v>
      </c>
      <c r="C1965">
        <v>18</v>
      </c>
      <c r="D1965" t="s">
        <v>1414</v>
      </c>
      <c r="E1965" t="s">
        <v>1414</v>
      </c>
    </row>
    <row r="1966" spans="1:5" x14ac:dyDescent="0.3">
      <c r="A1966" t="s">
        <v>1040</v>
      </c>
      <c r="B1966">
        <v>-151701.85</v>
      </c>
      <c r="C1966">
        <v>0</v>
      </c>
      <c r="D1966">
        <v>0.99532299999999996</v>
      </c>
      <c r="E1966">
        <v>0.89954599999999996</v>
      </c>
    </row>
    <row r="1967" spans="1:5" x14ac:dyDescent="0.3">
      <c r="A1967" t="s">
        <v>1891</v>
      </c>
      <c r="B1967">
        <v>217349.08</v>
      </c>
      <c r="C1967">
        <v>15</v>
      </c>
      <c r="D1967">
        <v>0.99815399999999999</v>
      </c>
      <c r="E1967">
        <v>1</v>
      </c>
    </row>
    <row r="1968" spans="1:5" x14ac:dyDescent="0.3">
      <c r="A1968" t="s">
        <v>1892</v>
      </c>
      <c r="B1968">
        <v>14833.99</v>
      </c>
      <c r="C1968">
        <v>51</v>
      </c>
      <c r="D1968">
        <v>1</v>
      </c>
      <c r="E1968" t="s">
        <v>1414</v>
      </c>
    </row>
    <row r="1969" spans="1:5" x14ac:dyDescent="0.3">
      <c r="A1969" t="s">
        <v>1635</v>
      </c>
      <c r="B1969">
        <v>18319.22</v>
      </c>
      <c r="C1969">
        <v>4</v>
      </c>
      <c r="D1969">
        <v>1</v>
      </c>
      <c r="E1969" t="s">
        <v>1414</v>
      </c>
    </row>
    <row r="1970" spans="1:5" x14ac:dyDescent="0.3">
      <c r="A1970" t="s">
        <v>1204</v>
      </c>
      <c r="B1970">
        <v>-231338.2</v>
      </c>
      <c r="C1970">
        <v>0</v>
      </c>
      <c r="D1970">
        <v>1</v>
      </c>
      <c r="E1970">
        <v>0</v>
      </c>
    </row>
    <row r="1971" spans="1:5" x14ac:dyDescent="0.3">
      <c r="A1971" t="s">
        <v>1041</v>
      </c>
      <c r="B1971">
        <v>-100542.72</v>
      </c>
      <c r="C1971">
        <v>15</v>
      </c>
      <c r="D1971">
        <v>0.99319199999999996</v>
      </c>
      <c r="E1971">
        <v>1</v>
      </c>
    </row>
    <row r="1972" spans="1:5" x14ac:dyDescent="0.3">
      <c r="A1972" t="s">
        <v>1893</v>
      </c>
      <c r="B1972">
        <v>-28914.69</v>
      </c>
      <c r="C1972">
        <v>10</v>
      </c>
      <c r="D1972">
        <v>0.90406600000000004</v>
      </c>
      <c r="E1972">
        <v>0.21010400000000001</v>
      </c>
    </row>
    <row r="1973" spans="1:5" x14ac:dyDescent="0.3">
      <c r="A1973" t="s">
        <v>1260</v>
      </c>
      <c r="B1973">
        <v>35296.86</v>
      </c>
      <c r="C1973">
        <v>19</v>
      </c>
      <c r="D1973">
        <v>0.99813600000000002</v>
      </c>
      <c r="E1973">
        <v>0.15865099999999999</v>
      </c>
    </row>
    <row r="1974" spans="1:5" x14ac:dyDescent="0.3">
      <c r="A1974" t="s">
        <v>147</v>
      </c>
      <c r="B1974">
        <v>-120524.81</v>
      </c>
      <c r="C1974">
        <v>17</v>
      </c>
      <c r="D1974">
        <v>0.97311800000000004</v>
      </c>
      <c r="E1974">
        <v>0.37478</v>
      </c>
    </row>
    <row r="1975" spans="1:5" x14ac:dyDescent="0.3">
      <c r="A1975" t="s">
        <v>1894</v>
      </c>
      <c r="B1975">
        <v>-26273.15</v>
      </c>
      <c r="C1975">
        <v>30</v>
      </c>
      <c r="D1975">
        <v>1</v>
      </c>
      <c r="E1975" t="s">
        <v>1414</v>
      </c>
    </row>
    <row r="1976" spans="1:5" x14ac:dyDescent="0.3">
      <c r="A1976" t="s">
        <v>1222</v>
      </c>
      <c r="B1976">
        <v>50266.22</v>
      </c>
      <c r="C1976">
        <v>17</v>
      </c>
      <c r="D1976">
        <v>1</v>
      </c>
      <c r="E1976">
        <v>0.928643</v>
      </c>
    </row>
    <row r="1977" spans="1:5" x14ac:dyDescent="0.3">
      <c r="A1977" t="s">
        <v>1276</v>
      </c>
      <c r="B1977">
        <v>82992.56</v>
      </c>
      <c r="C1977">
        <v>19</v>
      </c>
      <c r="D1977">
        <v>1</v>
      </c>
      <c r="E1977">
        <v>1</v>
      </c>
    </row>
    <row r="1978" spans="1:5" x14ac:dyDescent="0.3">
      <c r="A1978" t="s">
        <v>1636</v>
      </c>
      <c r="B1978">
        <v>37116.559999999998</v>
      </c>
      <c r="C1978">
        <v>24</v>
      </c>
      <c r="D1978">
        <v>0.99799099999999996</v>
      </c>
      <c r="E1978">
        <v>1</v>
      </c>
    </row>
    <row r="1979" spans="1:5" x14ac:dyDescent="0.3">
      <c r="A1979" t="s">
        <v>971</v>
      </c>
      <c r="B1979">
        <v>58028.55</v>
      </c>
      <c r="C1979">
        <v>20</v>
      </c>
      <c r="D1979">
        <v>0.998803</v>
      </c>
      <c r="E1979">
        <v>0.92486199999999996</v>
      </c>
    </row>
    <row r="1980" spans="1:5" x14ac:dyDescent="0.3">
      <c r="A1980" t="s">
        <v>1283</v>
      </c>
      <c r="B1980">
        <v>-5231.59</v>
      </c>
      <c r="C1980">
        <v>17</v>
      </c>
      <c r="D1980">
        <v>0.98061799999999999</v>
      </c>
      <c r="E1980">
        <v>0.19992199999999999</v>
      </c>
    </row>
    <row r="1981" spans="1:5" x14ac:dyDescent="0.3">
      <c r="A1981" t="s">
        <v>1205</v>
      </c>
      <c r="B1981">
        <v>46974.18</v>
      </c>
      <c r="C1981">
        <v>18</v>
      </c>
      <c r="D1981">
        <v>1</v>
      </c>
      <c r="E1981">
        <v>0.1288</v>
      </c>
    </row>
    <row r="1982" spans="1:5" x14ac:dyDescent="0.3">
      <c r="A1982" t="s">
        <v>1895</v>
      </c>
      <c r="B1982">
        <v>-93275.23</v>
      </c>
      <c r="C1982">
        <v>15</v>
      </c>
      <c r="D1982">
        <v>0.93606400000000001</v>
      </c>
      <c r="E1982">
        <v>0.60709400000000002</v>
      </c>
    </row>
    <row r="1983" spans="1:5" x14ac:dyDescent="0.3">
      <c r="A1983" t="s">
        <v>148</v>
      </c>
      <c r="B1983">
        <v>184434.65</v>
      </c>
      <c r="C1983">
        <v>24</v>
      </c>
      <c r="D1983">
        <v>0.99633700000000003</v>
      </c>
      <c r="E1983">
        <v>1</v>
      </c>
    </row>
    <row r="1984" spans="1:5" x14ac:dyDescent="0.3">
      <c r="A1984" t="s">
        <v>449</v>
      </c>
      <c r="B1984">
        <v>-50099.41</v>
      </c>
      <c r="C1984">
        <v>15</v>
      </c>
      <c r="D1984">
        <v>0.93875200000000003</v>
      </c>
      <c r="E1984">
        <v>0.188892</v>
      </c>
    </row>
    <row r="1985" spans="1:5" x14ac:dyDescent="0.3">
      <c r="A1985" t="s">
        <v>1637</v>
      </c>
      <c r="B1985">
        <v>170307.81</v>
      </c>
      <c r="C1985">
        <v>16</v>
      </c>
      <c r="D1985">
        <v>1</v>
      </c>
      <c r="E1985" t="s">
        <v>1414</v>
      </c>
    </row>
    <row r="1986" spans="1:5" x14ac:dyDescent="0.3">
      <c r="A1986" t="s">
        <v>1638</v>
      </c>
      <c r="B1986">
        <v>-93121.1</v>
      </c>
      <c r="C1986">
        <v>12</v>
      </c>
      <c r="D1986">
        <v>1</v>
      </c>
      <c r="E1986">
        <v>1</v>
      </c>
    </row>
    <row r="1987" spans="1:5" x14ac:dyDescent="0.3">
      <c r="A1987" t="s">
        <v>2215</v>
      </c>
      <c r="B1987">
        <v>15271.65</v>
      </c>
      <c r="C1987">
        <v>30</v>
      </c>
      <c r="D1987">
        <v>1</v>
      </c>
      <c r="E1987">
        <v>1</v>
      </c>
    </row>
    <row r="1988" spans="1:5" x14ac:dyDescent="0.3">
      <c r="A1988" t="s">
        <v>1284</v>
      </c>
      <c r="B1988">
        <v>80271.289999999994</v>
      </c>
      <c r="C1988">
        <v>20</v>
      </c>
      <c r="D1988">
        <v>0.91316299999999995</v>
      </c>
      <c r="E1988">
        <v>0.40358500000000003</v>
      </c>
    </row>
    <row r="1989" spans="1:5" x14ac:dyDescent="0.3">
      <c r="A1989" t="s">
        <v>813</v>
      </c>
      <c r="B1989">
        <v>-161738.79999999999</v>
      </c>
      <c r="C1989">
        <v>20</v>
      </c>
      <c r="D1989">
        <v>0.99239999999999995</v>
      </c>
      <c r="E1989">
        <v>0.697357</v>
      </c>
    </row>
    <row r="1990" spans="1:5" x14ac:dyDescent="0.3">
      <c r="A1990" t="s">
        <v>1639</v>
      </c>
      <c r="B1990">
        <v>46646.2</v>
      </c>
      <c r="C1990">
        <v>15</v>
      </c>
      <c r="D1990">
        <v>1</v>
      </c>
      <c r="E1990">
        <v>1</v>
      </c>
    </row>
    <row r="1991" spans="1:5" x14ac:dyDescent="0.3">
      <c r="A1991" t="s">
        <v>1640</v>
      </c>
      <c r="B1991">
        <v>85682.38</v>
      </c>
      <c r="C1991">
        <v>17</v>
      </c>
      <c r="D1991">
        <v>1</v>
      </c>
      <c r="E1991" t="s">
        <v>1414</v>
      </c>
    </row>
    <row r="1992" spans="1:5" x14ac:dyDescent="0.3">
      <c r="A1992" t="s">
        <v>1896</v>
      </c>
      <c r="B1992">
        <v>19910.810000000001</v>
      </c>
      <c r="C1992">
        <v>88</v>
      </c>
      <c r="D1992">
        <v>0.94585399999999997</v>
      </c>
      <c r="E1992">
        <v>0.361983</v>
      </c>
    </row>
    <row r="1993" spans="1:5" x14ac:dyDescent="0.3">
      <c r="A1993" t="s">
        <v>1206</v>
      </c>
      <c r="B1993">
        <v>-28307.759999999998</v>
      </c>
      <c r="C1993">
        <v>8</v>
      </c>
      <c r="D1993">
        <v>0.80244099999999996</v>
      </c>
      <c r="E1993">
        <v>1</v>
      </c>
    </row>
    <row r="1994" spans="1:5" x14ac:dyDescent="0.3">
      <c r="A1994" t="s">
        <v>1897</v>
      </c>
      <c r="B1994">
        <v>13997.75</v>
      </c>
      <c r="C1994">
        <v>8</v>
      </c>
      <c r="D1994">
        <v>1</v>
      </c>
      <c r="E1994" t="s">
        <v>1414</v>
      </c>
    </row>
    <row r="1995" spans="1:5" x14ac:dyDescent="0.3">
      <c r="A1995" t="s">
        <v>2011</v>
      </c>
      <c r="B1995">
        <v>76577.740000000005</v>
      </c>
      <c r="C1995">
        <v>5</v>
      </c>
      <c r="D1995">
        <v>1</v>
      </c>
      <c r="E1995" t="s">
        <v>1414</v>
      </c>
    </row>
    <row r="1996" spans="1:5" x14ac:dyDescent="0.3">
      <c r="A1996" t="s">
        <v>1230</v>
      </c>
      <c r="B1996">
        <v>41492.480000000003</v>
      </c>
      <c r="C1996">
        <v>18</v>
      </c>
      <c r="D1996">
        <v>0.99954600000000005</v>
      </c>
      <c r="E1996">
        <v>1</v>
      </c>
    </row>
    <row r="1997" spans="1:5" x14ac:dyDescent="0.3">
      <c r="A1997" t="s">
        <v>2216</v>
      </c>
      <c r="B1997">
        <v>0</v>
      </c>
      <c r="C1997">
        <v>0</v>
      </c>
      <c r="D1997" t="s">
        <v>1414</v>
      </c>
      <c r="E1997" t="s">
        <v>1414</v>
      </c>
    </row>
    <row r="1998" spans="1:5" x14ac:dyDescent="0.3">
      <c r="A1998" t="s">
        <v>1231</v>
      </c>
      <c r="B1998">
        <v>266684.59999999998</v>
      </c>
      <c r="C1998">
        <v>26</v>
      </c>
      <c r="D1998">
        <v>1</v>
      </c>
      <c r="E1998">
        <v>1</v>
      </c>
    </row>
    <row r="1999" spans="1:5" x14ac:dyDescent="0.3">
      <c r="A1999" t="s">
        <v>1285</v>
      </c>
      <c r="B1999">
        <v>140175.22</v>
      </c>
      <c r="C1999">
        <v>20</v>
      </c>
      <c r="D1999">
        <v>0.99771900000000002</v>
      </c>
      <c r="E1999">
        <v>0.85986799999999997</v>
      </c>
    </row>
    <row r="2000" spans="1:5" x14ac:dyDescent="0.3">
      <c r="A2000" t="s">
        <v>450</v>
      </c>
      <c r="B2000">
        <v>-46787.03</v>
      </c>
      <c r="C2000">
        <v>16</v>
      </c>
      <c r="D2000">
        <v>0.99915200000000004</v>
      </c>
      <c r="E2000">
        <v>1</v>
      </c>
    </row>
    <row r="2001" spans="1:5" x14ac:dyDescent="0.3">
      <c r="A2001" t="s">
        <v>1207</v>
      </c>
      <c r="B2001">
        <v>16231.37</v>
      </c>
      <c r="C2001">
        <v>25</v>
      </c>
      <c r="D2001">
        <v>0.98969200000000002</v>
      </c>
      <c r="E2001">
        <v>0.96389499999999995</v>
      </c>
    </row>
    <row r="2002" spans="1:5" x14ac:dyDescent="0.3">
      <c r="A2002" t="s">
        <v>1286</v>
      </c>
      <c r="B2002">
        <v>1640.23</v>
      </c>
      <c r="C2002">
        <v>15</v>
      </c>
      <c r="D2002">
        <v>0.99816300000000002</v>
      </c>
      <c r="E2002">
        <v>0.15043300000000001</v>
      </c>
    </row>
    <row r="2003" spans="1:5" x14ac:dyDescent="0.3">
      <c r="A2003" t="s">
        <v>1287</v>
      </c>
      <c r="B2003">
        <v>137511.23000000001</v>
      </c>
      <c r="C2003">
        <v>21</v>
      </c>
      <c r="D2003">
        <v>1</v>
      </c>
      <c r="E2003">
        <v>0.87034999999999996</v>
      </c>
    </row>
    <row r="2004" spans="1:5" x14ac:dyDescent="0.3">
      <c r="A2004" t="s">
        <v>900</v>
      </c>
      <c r="B2004">
        <v>47873.88</v>
      </c>
      <c r="C2004">
        <v>116</v>
      </c>
      <c r="D2004">
        <v>0.98234699999999997</v>
      </c>
      <c r="E2004" t="s">
        <v>1414</v>
      </c>
    </row>
    <row r="2005" spans="1:5" x14ac:dyDescent="0.3">
      <c r="A2005" t="s">
        <v>1898</v>
      </c>
      <c r="B2005">
        <v>-23103.72</v>
      </c>
      <c r="C2005">
        <v>16</v>
      </c>
      <c r="D2005">
        <v>0.99640799999999996</v>
      </c>
      <c r="E2005">
        <v>0.41950399999999999</v>
      </c>
    </row>
    <row r="2006" spans="1:5" x14ac:dyDescent="0.3">
      <c r="A2006" t="s">
        <v>1288</v>
      </c>
      <c r="B2006">
        <v>-180943.29</v>
      </c>
      <c r="C2006">
        <v>10</v>
      </c>
      <c r="D2006">
        <v>0.98065199999999997</v>
      </c>
      <c r="E2006">
        <v>0.10645399999999999</v>
      </c>
    </row>
    <row r="2007" spans="1:5" x14ac:dyDescent="0.3">
      <c r="A2007" t="s">
        <v>2217</v>
      </c>
      <c r="B2007">
        <v>87734.34</v>
      </c>
      <c r="C2007">
        <v>11</v>
      </c>
      <c r="D2007">
        <v>1</v>
      </c>
      <c r="E2007" t="s">
        <v>1414</v>
      </c>
    </row>
    <row r="2008" spans="1:5" x14ac:dyDescent="0.3">
      <c r="A2008" t="s">
        <v>1261</v>
      </c>
      <c r="B2008">
        <v>30835.279999999999</v>
      </c>
      <c r="C2008">
        <v>16</v>
      </c>
      <c r="D2008">
        <v>0.93162500000000004</v>
      </c>
      <c r="E2008">
        <v>1</v>
      </c>
    </row>
    <row r="2009" spans="1:5" x14ac:dyDescent="0.3">
      <c r="A2009" t="s">
        <v>1641</v>
      </c>
      <c r="B2009">
        <v>40245.910000000003</v>
      </c>
      <c r="C2009">
        <v>14</v>
      </c>
      <c r="D2009">
        <v>1</v>
      </c>
      <c r="E2009">
        <v>1</v>
      </c>
    </row>
    <row r="2010" spans="1:5" x14ac:dyDescent="0.3">
      <c r="A2010" t="s">
        <v>1642</v>
      </c>
      <c r="B2010">
        <v>23280.93</v>
      </c>
      <c r="C2010">
        <v>13</v>
      </c>
      <c r="D2010">
        <v>0.99093600000000004</v>
      </c>
      <c r="E2010">
        <v>5.1053000000000001E-2</v>
      </c>
    </row>
    <row r="2011" spans="1:5" x14ac:dyDescent="0.3">
      <c r="A2011" t="s">
        <v>1248</v>
      </c>
      <c r="B2011">
        <v>36757.379999999997</v>
      </c>
      <c r="C2011">
        <v>27</v>
      </c>
      <c r="D2011">
        <v>0.99909000000000003</v>
      </c>
      <c r="E2011">
        <v>1</v>
      </c>
    </row>
    <row r="2012" spans="1:5" x14ac:dyDescent="0.3">
      <c r="A2012" t="s">
        <v>1643</v>
      </c>
      <c r="B2012">
        <v>71516.75</v>
      </c>
      <c r="C2012">
        <v>74</v>
      </c>
      <c r="D2012">
        <v>1</v>
      </c>
      <c r="E2012" t="s">
        <v>1414</v>
      </c>
    </row>
    <row r="2013" spans="1:5" x14ac:dyDescent="0.3">
      <c r="A2013" t="s">
        <v>1216</v>
      </c>
      <c r="B2013">
        <v>-35723.120000000003</v>
      </c>
      <c r="C2013">
        <v>23</v>
      </c>
      <c r="D2013">
        <v>0.99565599999999999</v>
      </c>
      <c r="E2013">
        <v>0.96733999999999998</v>
      </c>
    </row>
    <row r="2014" spans="1:5" x14ac:dyDescent="0.3">
      <c r="A2014" t="s">
        <v>901</v>
      </c>
      <c r="B2014">
        <v>-121634.36</v>
      </c>
      <c r="C2014">
        <v>13</v>
      </c>
      <c r="D2014">
        <v>1</v>
      </c>
      <c r="E2014">
        <v>0.81065900000000002</v>
      </c>
    </row>
    <row r="2015" spans="1:5" x14ac:dyDescent="0.3">
      <c r="A2015" t="s">
        <v>1268</v>
      </c>
      <c r="B2015">
        <v>102911.16</v>
      </c>
      <c r="C2015">
        <v>11</v>
      </c>
      <c r="D2015">
        <v>1</v>
      </c>
      <c r="E2015" t="s">
        <v>1414</v>
      </c>
    </row>
    <row r="2016" spans="1:5" x14ac:dyDescent="0.3">
      <c r="A2016" t="s">
        <v>1644</v>
      </c>
      <c r="B2016">
        <v>-39239.910000000003</v>
      </c>
      <c r="C2016">
        <v>15</v>
      </c>
      <c r="D2016">
        <v>0.92972100000000002</v>
      </c>
      <c r="E2016">
        <v>0.22239200000000001</v>
      </c>
    </row>
    <row r="2017" spans="1:5" x14ac:dyDescent="0.3">
      <c r="A2017" t="s">
        <v>1249</v>
      </c>
      <c r="B2017">
        <v>-217223.89</v>
      </c>
      <c r="C2017">
        <v>3</v>
      </c>
      <c r="D2017">
        <v>0.99714000000000003</v>
      </c>
      <c r="E2017">
        <v>0.85987599999999997</v>
      </c>
    </row>
    <row r="2018" spans="1:5" x14ac:dyDescent="0.3">
      <c r="A2018" t="s">
        <v>814</v>
      </c>
      <c r="B2018">
        <v>92358.84</v>
      </c>
      <c r="C2018">
        <v>20</v>
      </c>
      <c r="D2018">
        <v>0.99871699999999997</v>
      </c>
      <c r="E2018">
        <v>0.80445500000000003</v>
      </c>
    </row>
    <row r="2019" spans="1:5" x14ac:dyDescent="0.3">
      <c r="A2019" t="s">
        <v>2218</v>
      </c>
      <c r="B2019">
        <v>13120</v>
      </c>
      <c r="C2019">
        <v>2</v>
      </c>
      <c r="D2019" t="s">
        <v>1414</v>
      </c>
      <c r="E2019" t="s">
        <v>1414</v>
      </c>
    </row>
    <row r="2020" spans="1:5" x14ac:dyDescent="0.3">
      <c r="A2020" t="s">
        <v>1250</v>
      </c>
      <c r="B2020">
        <v>-193505.57</v>
      </c>
      <c r="C2020">
        <v>18</v>
      </c>
      <c r="D2020">
        <v>0.99198500000000001</v>
      </c>
      <c r="E2020">
        <v>0.372419</v>
      </c>
    </row>
    <row r="2021" spans="1:5" x14ac:dyDescent="0.3">
      <c r="A2021" t="s">
        <v>1645</v>
      </c>
      <c r="B2021">
        <v>17125.04</v>
      </c>
      <c r="C2021">
        <v>12</v>
      </c>
      <c r="D2021">
        <v>0.97753299999999999</v>
      </c>
      <c r="E2021">
        <v>0.91227800000000003</v>
      </c>
    </row>
    <row r="2022" spans="1:5" x14ac:dyDescent="0.3">
      <c r="A2022" t="s">
        <v>2219</v>
      </c>
      <c r="B2022">
        <v>20000</v>
      </c>
      <c r="C2022">
        <v>20</v>
      </c>
      <c r="D2022" t="s">
        <v>1414</v>
      </c>
      <c r="E2022" t="s">
        <v>1414</v>
      </c>
    </row>
    <row r="2023" spans="1:5" x14ac:dyDescent="0.3">
      <c r="A2023" t="s">
        <v>1899</v>
      </c>
      <c r="B2023">
        <v>-46240.49</v>
      </c>
      <c r="C2023">
        <v>53</v>
      </c>
      <c r="D2023">
        <v>0.95662100000000005</v>
      </c>
      <c r="E2023">
        <v>0.95555800000000002</v>
      </c>
    </row>
    <row r="2024" spans="1:5" x14ac:dyDescent="0.3">
      <c r="A2024" t="s">
        <v>1269</v>
      </c>
      <c r="B2024">
        <v>-92226.48</v>
      </c>
      <c r="C2024">
        <v>21</v>
      </c>
      <c r="D2024">
        <v>0.98723700000000003</v>
      </c>
      <c r="E2024">
        <v>0.608572</v>
      </c>
    </row>
    <row r="2025" spans="1:5" x14ac:dyDescent="0.3">
      <c r="A2025" t="s">
        <v>1232</v>
      </c>
      <c r="B2025">
        <v>143967.25</v>
      </c>
      <c r="C2025">
        <v>19</v>
      </c>
      <c r="D2025" t="s">
        <v>1414</v>
      </c>
      <c r="E2025" t="s">
        <v>1414</v>
      </c>
    </row>
    <row r="2026" spans="1:5" x14ac:dyDescent="0.3">
      <c r="A2026" t="s">
        <v>1241</v>
      </c>
      <c r="B2026">
        <v>16290.38</v>
      </c>
      <c r="C2026">
        <v>75</v>
      </c>
      <c r="D2026">
        <v>0.97372400000000003</v>
      </c>
      <c r="E2026">
        <v>0.32679399999999997</v>
      </c>
    </row>
    <row r="2027" spans="1:5" x14ac:dyDescent="0.3">
      <c r="A2027" t="s">
        <v>1233</v>
      </c>
      <c r="B2027">
        <v>41376.879999999997</v>
      </c>
      <c r="C2027">
        <v>19</v>
      </c>
      <c r="D2027">
        <v>1</v>
      </c>
      <c r="E2027">
        <v>1</v>
      </c>
    </row>
    <row r="2028" spans="1:5" x14ac:dyDescent="0.3">
      <c r="A2028" t="s">
        <v>2012</v>
      </c>
      <c r="B2028">
        <v>22207.119999999999</v>
      </c>
      <c r="C2028">
        <v>10</v>
      </c>
      <c r="D2028">
        <v>1</v>
      </c>
      <c r="E2028">
        <v>1</v>
      </c>
    </row>
    <row r="2029" spans="1:5" x14ac:dyDescent="0.3">
      <c r="A2029" t="s">
        <v>1223</v>
      </c>
      <c r="B2029">
        <v>90664</v>
      </c>
      <c r="C2029">
        <v>25</v>
      </c>
      <c r="D2029">
        <v>0.99441999999999997</v>
      </c>
      <c r="E2029">
        <v>0.18911800000000001</v>
      </c>
    </row>
    <row r="2030" spans="1:5" x14ac:dyDescent="0.3">
      <c r="A2030" t="s">
        <v>2220</v>
      </c>
      <c r="B2030">
        <v>0</v>
      </c>
      <c r="C2030">
        <v>0</v>
      </c>
      <c r="D2030" t="s">
        <v>1414</v>
      </c>
      <c r="E2030" t="s">
        <v>1414</v>
      </c>
    </row>
    <row r="2031" spans="1:5" x14ac:dyDescent="0.3">
      <c r="A2031" t="s">
        <v>1646</v>
      </c>
      <c r="B2031">
        <v>41518.730000000003</v>
      </c>
      <c r="C2031">
        <v>20</v>
      </c>
      <c r="D2031">
        <v>1</v>
      </c>
      <c r="E2031">
        <v>0.82016599999999995</v>
      </c>
    </row>
    <row r="2032" spans="1:5" x14ac:dyDescent="0.3">
      <c r="A2032" t="s">
        <v>451</v>
      </c>
      <c r="B2032">
        <v>60383.88</v>
      </c>
      <c r="C2032">
        <v>25</v>
      </c>
      <c r="D2032">
        <v>1</v>
      </c>
      <c r="E2032">
        <v>1</v>
      </c>
    </row>
    <row r="2033" spans="1:5" x14ac:dyDescent="0.3">
      <c r="A2033" t="s">
        <v>1270</v>
      </c>
      <c r="B2033">
        <v>58708.88</v>
      </c>
      <c r="C2033">
        <v>115</v>
      </c>
      <c r="D2033">
        <v>0.97917399999999999</v>
      </c>
      <c r="E2033">
        <v>0.78049199999999996</v>
      </c>
    </row>
    <row r="2034" spans="1:5" x14ac:dyDescent="0.3">
      <c r="A2034" t="s">
        <v>1900</v>
      </c>
      <c r="B2034">
        <v>121854.39999999999</v>
      </c>
      <c r="C2034">
        <v>10</v>
      </c>
      <c r="D2034">
        <v>1</v>
      </c>
      <c r="E2034" t="s">
        <v>1414</v>
      </c>
    </row>
    <row r="2035" spans="1:5" x14ac:dyDescent="0.3">
      <c r="A2035" t="s">
        <v>1208</v>
      </c>
      <c r="B2035">
        <v>-14258.58</v>
      </c>
      <c r="C2035">
        <v>0</v>
      </c>
      <c r="D2035">
        <v>1</v>
      </c>
      <c r="E2035" t="s">
        <v>1414</v>
      </c>
    </row>
    <row r="2036" spans="1:5" x14ac:dyDescent="0.3">
      <c r="A2036" t="s">
        <v>149</v>
      </c>
      <c r="B2036">
        <v>235232.31</v>
      </c>
      <c r="C2036">
        <v>21</v>
      </c>
      <c r="D2036">
        <v>1</v>
      </c>
      <c r="E2036">
        <v>1</v>
      </c>
    </row>
    <row r="2037" spans="1:5" x14ac:dyDescent="0.3">
      <c r="A2037" t="s">
        <v>1901</v>
      </c>
      <c r="B2037">
        <v>84797.54</v>
      </c>
      <c r="C2037">
        <v>10</v>
      </c>
      <c r="D2037">
        <v>1</v>
      </c>
      <c r="E2037" t="s">
        <v>1414</v>
      </c>
    </row>
    <row r="2038" spans="1:5" x14ac:dyDescent="0.3">
      <c r="A2038" t="s">
        <v>1266</v>
      </c>
      <c r="B2038">
        <v>114540.37</v>
      </c>
      <c r="C2038">
        <v>20</v>
      </c>
      <c r="D2038">
        <v>0.99404400000000004</v>
      </c>
      <c r="E2038">
        <v>0.90761599999999998</v>
      </c>
    </row>
    <row r="2039" spans="1:5" x14ac:dyDescent="0.3">
      <c r="A2039" t="s">
        <v>1251</v>
      </c>
      <c r="B2039">
        <v>-37077.42</v>
      </c>
      <c r="C2039">
        <v>52</v>
      </c>
      <c r="D2039">
        <v>0.95103400000000005</v>
      </c>
      <c r="E2039">
        <v>0.45120399999999999</v>
      </c>
    </row>
    <row r="2040" spans="1:5" x14ac:dyDescent="0.3">
      <c r="A2040" t="s">
        <v>1242</v>
      </c>
      <c r="B2040">
        <v>12960.51</v>
      </c>
      <c r="C2040">
        <v>18</v>
      </c>
      <c r="D2040">
        <v>0.99193200000000004</v>
      </c>
      <c r="E2040">
        <v>0.74985400000000002</v>
      </c>
    </row>
    <row r="2041" spans="1:5" x14ac:dyDescent="0.3">
      <c r="A2041" t="s">
        <v>815</v>
      </c>
      <c r="B2041">
        <v>-138492.76999999999</v>
      </c>
      <c r="C2041">
        <v>11</v>
      </c>
      <c r="D2041">
        <v>0.99140799999999996</v>
      </c>
      <c r="E2041">
        <v>0.88819700000000001</v>
      </c>
    </row>
    <row r="2042" spans="1:5" x14ac:dyDescent="0.3">
      <c r="A2042" t="s">
        <v>1647</v>
      </c>
      <c r="B2042">
        <v>25174.74</v>
      </c>
      <c r="C2042">
        <v>8</v>
      </c>
      <c r="D2042">
        <v>0.99520200000000003</v>
      </c>
      <c r="E2042" t="s">
        <v>1414</v>
      </c>
    </row>
    <row r="2043" spans="1:5" x14ac:dyDescent="0.3">
      <c r="A2043" t="s">
        <v>1289</v>
      </c>
      <c r="B2043">
        <v>12201.99</v>
      </c>
      <c r="C2043">
        <v>51</v>
      </c>
      <c r="D2043">
        <v>0.97232200000000002</v>
      </c>
      <c r="E2043">
        <v>1</v>
      </c>
    </row>
    <row r="2044" spans="1:5" x14ac:dyDescent="0.3">
      <c r="A2044" t="s">
        <v>2221</v>
      </c>
      <c r="B2044">
        <v>38206.18</v>
      </c>
      <c r="C2044">
        <v>43</v>
      </c>
      <c r="D2044">
        <v>1</v>
      </c>
      <c r="E2044" t="s">
        <v>1414</v>
      </c>
    </row>
    <row r="2045" spans="1:5" x14ac:dyDescent="0.3">
      <c r="A2045" t="s">
        <v>1209</v>
      </c>
      <c r="B2045">
        <v>-194188.47</v>
      </c>
      <c r="C2045">
        <v>15</v>
      </c>
      <c r="D2045">
        <v>1</v>
      </c>
      <c r="E2045">
        <v>0.90701799999999999</v>
      </c>
    </row>
    <row r="2046" spans="1:5" x14ac:dyDescent="0.3">
      <c r="A2046" t="s">
        <v>1262</v>
      </c>
      <c r="B2046">
        <v>24762.5</v>
      </c>
      <c r="C2046">
        <v>19</v>
      </c>
      <c r="D2046">
        <v>0.98048000000000002</v>
      </c>
      <c r="E2046">
        <v>0.98544299999999996</v>
      </c>
    </row>
    <row r="2047" spans="1:5" x14ac:dyDescent="0.3">
      <c r="A2047" t="s">
        <v>1263</v>
      </c>
      <c r="B2047">
        <v>-168197.35</v>
      </c>
      <c r="C2047">
        <v>5</v>
      </c>
      <c r="D2047">
        <v>0.98278699999999997</v>
      </c>
      <c r="E2047">
        <v>0.56821299999999997</v>
      </c>
    </row>
    <row r="2048" spans="1:5" x14ac:dyDescent="0.3">
      <c r="A2048" t="s">
        <v>1245</v>
      </c>
      <c r="B2048">
        <v>11938.52</v>
      </c>
      <c r="C2048">
        <v>14</v>
      </c>
      <c r="D2048">
        <v>0.99034800000000001</v>
      </c>
      <c r="E2048">
        <v>1</v>
      </c>
    </row>
    <row r="2049" spans="1:5" x14ac:dyDescent="0.3">
      <c r="A2049" t="s">
        <v>1042</v>
      </c>
      <c r="B2049">
        <v>-89804.46</v>
      </c>
      <c r="C2049">
        <v>0</v>
      </c>
      <c r="D2049">
        <v>0.96182199999999995</v>
      </c>
      <c r="E2049">
        <v>0.57033</v>
      </c>
    </row>
    <row r="2050" spans="1:5" x14ac:dyDescent="0.3">
      <c r="A2050" t="s">
        <v>1243</v>
      </c>
      <c r="B2050">
        <v>37307.18</v>
      </c>
      <c r="C2050">
        <v>16</v>
      </c>
      <c r="D2050">
        <v>1</v>
      </c>
      <c r="E2050">
        <v>0.89261299999999999</v>
      </c>
    </row>
    <row r="2051" spans="1:5" x14ac:dyDescent="0.3">
      <c r="A2051" t="s">
        <v>1902</v>
      </c>
      <c r="B2051">
        <v>61727.9</v>
      </c>
      <c r="C2051">
        <v>12</v>
      </c>
      <c r="D2051">
        <v>1</v>
      </c>
      <c r="E2051" t="s">
        <v>1414</v>
      </c>
    </row>
    <row r="2052" spans="1:5" x14ac:dyDescent="0.3">
      <c r="A2052" t="s">
        <v>1264</v>
      </c>
      <c r="B2052">
        <v>105698.32</v>
      </c>
      <c r="C2052">
        <v>19</v>
      </c>
      <c r="D2052">
        <v>0.96705600000000003</v>
      </c>
      <c r="E2052">
        <v>0.94916500000000004</v>
      </c>
    </row>
    <row r="2053" spans="1:5" x14ac:dyDescent="0.3">
      <c r="A2053" t="s">
        <v>1043</v>
      </c>
      <c r="B2053">
        <v>162741.59</v>
      </c>
      <c r="C2053">
        <v>29</v>
      </c>
      <c r="D2053">
        <v>0.99015500000000001</v>
      </c>
      <c r="E2053">
        <v>0.93930999999999998</v>
      </c>
    </row>
    <row r="2054" spans="1:5" x14ac:dyDescent="0.3">
      <c r="A2054" t="s">
        <v>2222</v>
      </c>
      <c r="B2054">
        <v>28039.75</v>
      </c>
      <c r="C2054">
        <v>40</v>
      </c>
      <c r="D2054">
        <v>1</v>
      </c>
      <c r="E2054" t="s">
        <v>1414</v>
      </c>
    </row>
    <row r="2055" spans="1:5" x14ac:dyDescent="0.3">
      <c r="A2055" t="s">
        <v>1903</v>
      </c>
      <c r="B2055">
        <v>58366.75</v>
      </c>
      <c r="C2055">
        <v>12</v>
      </c>
      <c r="D2055">
        <v>1</v>
      </c>
      <c r="E2055">
        <v>1</v>
      </c>
    </row>
    <row r="2056" spans="1:5" x14ac:dyDescent="0.3">
      <c r="A2056" t="s">
        <v>2223</v>
      </c>
      <c r="B2056">
        <v>48334.66</v>
      </c>
      <c r="C2056">
        <v>22</v>
      </c>
      <c r="D2056">
        <v>1</v>
      </c>
      <c r="E2056" t="s">
        <v>1414</v>
      </c>
    </row>
    <row r="2057" spans="1:5" x14ac:dyDescent="0.3">
      <c r="A2057" t="s">
        <v>1246</v>
      </c>
      <c r="B2057">
        <v>43330.91</v>
      </c>
      <c r="C2057">
        <v>18</v>
      </c>
      <c r="D2057">
        <v>0.94360100000000002</v>
      </c>
      <c r="E2057">
        <v>0.226052</v>
      </c>
    </row>
    <row r="2058" spans="1:5" x14ac:dyDescent="0.3">
      <c r="A2058" t="s">
        <v>1234</v>
      </c>
      <c r="B2058">
        <v>20803.88</v>
      </c>
      <c r="C2058">
        <v>12</v>
      </c>
      <c r="D2058">
        <v>0.99982199999999999</v>
      </c>
      <c r="E2058" t="s">
        <v>1414</v>
      </c>
    </row>
    <row r="2059" spans="1:5" x14ac:dyDescent="0.3">
      <c r="A2059" t="s">
        <v>1904</v>
      </c>
      <c r="B2059">
        <v>22061.82</v>
      </c>
      <c r="C2059">
        <v>15</v>
      </c>
      <c r="D2059">
        <v>1</v>
      </c>
      <c r="E2059" t="s">
        <v>1414</v>
      </c>
    </row>
    <row r="2060" spans="1:5" x14ac:dyDescent="0.3">
      <c r="A2060" t="s">
        <v>1244</v>
      </c>
      <c r="B2060">
        <v>12325.58</v>
      </c>
      <c r="C2060">
        <v>14</v>
      </c>
      <c r="D2060">
        <v>0.99883500000000003</v>
      </c>
      <c r="E2060">
        <v>0.812079</v>
      </c>
    </row>
    <row r="2061" spans="1:5" x14ac:dyDescent="0.3">
      <c r="A2061" t="s">
        <v>1252</v>
      </c>
      <c r="B2061">
        <v>120241.25</v>
      </c>
      <c r="C2061">
        <v>26</v>
      </c>
      <c r="D2061">
        <v>0.99495900000000004</v>
      </c>
      <c r="E2061">
        <v>1</v>
      </c>
    </row>
    <row r="2062" spans="1:5" x14ac:dyDescent="0.3">
      <c r="A2062" t="s">
        <v>1217</v>
      </c>
      <c r="B2062">
        <v>88721.07</v>
      </c>
      <c r="C2062">
        <v>20</v>
      </c>
      <c r="D2062">
        <v>0.99664200000000003</v>
      </c>
      <c r="E2062">
        <v>0.86405299999999996</v>
      </c>
    </row>
    <row r="2063" spans="1:5" x14ac:dyDescent="0.3">
      <c r="A2063" t="s">
        <v>2013</v>
      </c>
      <c r="B2063">
        <v>75676.2</v>
      </c>
      <c r="C2063">
        <v>15</v>
      </c>
      <c r="D2063">
        <v>1</v>
      </c>
      <c r="E2063" t="s">
        <v>1414</v>
      </c>
    </row>
    <row r="2064" spans="1:5" x14ac:dyDescent="0.3">
      <c r="A2064" t="s">
        <v>2224</v>
      </c>
      <c r="B2064">
        <v>10516.41</v>
      </c>
      <c r="C2064">
        <v>14</v>
      </c>
      <c r="D2064">
        <v>1</v>
      </c>
      <c r="E2064">
        <v>1</v>
      </c>
    </row>
    <row r="2065" spans="1:5" x14ac:dyDescent="0.3">
      <c r="A2065" t="s">
        <v>1648</v>
      </c>
      <c r="B2065">
        <v>31208.14</v>
      </c>
      <c r="C2065">
        <v>10</v>
      </c>
      <c r="D2065">
        <v>1</v>
      </c>
      <c r="E2065" t="s">
        <v>1414</v>
      </c>
    </row>
    <row r="2066" spans="1:5" x14ac:dyDescent="0.3">
      <c r="A2066" t="s">
        <v>2225</v>
      </c>
      <c r="B2066">
        <v>2716.12</v>
      </c>
      <c r="C2066">
        <v>1</v>
      </c>
      <c r="D2066" t="s">
        <v>1414</v>
      </c>
      <c r="E2066" t="s">
        <v>1414</v>
      </c>
    </row>
    <row r="2067" spans="1:5" x14ac:dyDescent="0.3">
      <c r="A2067" t="s">
        <v>1649</v>
      </c>
      <c r="B2067">
        <v>-18673.48</v>
      </c>
      <c r="C2067">
        <v>17</v>
      </c>
      <c r="D2067">
        <v>0.99813200000000002</v>
      </c>
      <c r="E2067">
        <v>0.15074899999999999</v>
      </c>
    </row>
    <row r="2068" spans="1:5" x14ac:dyDescent="0.3">
      <c r="A2068" t="s">
        <v>1247</v>
      </c>
      <c r="B2068">
        <v>-191493.44</v>
      </c>
      <c r="C2068">
        <v>8</v>
      </c>
      <c r="D2068">
        <v>0.990429</v>
      </c>
      <c r="E2068">
        <v>1</v>
      </c>
    </row>
    <row r="2069" spans="1:5" x14ac:dyDescent="0.3">
      <c r="A2069" t="s">
        <v>2014</v>
      </c>
      <c r="B2069">
        <v>59132.67</v>
      </c>
      <c r="C2069">
        <v>6</v>
      </c>
      <c r="D2069">
        <v>1</v>
      </c>
      <c r="E2069" t="s">
        <v>1414</v>
      </c>
    </row>
    <row r="2070" spans="1:5" x14ac:dyDescent="0.3">
      <c r="A2070" t="s">
        <v>1265</v>
      </c>
      <c r="B2070">
        <v>90795.33</v>
      </c>
      <c r="C2070">
        <v>20</v>
      </c>
      <c r="D2070">
        <v>0.995896</v>
      </c>
      <c r="E2070">
        <v>0</v>
      </c>
    </row>
    <row r="2071" spans="1:5" x14ac:dyDescent="0.3">
      <c r="A2071" t="s">
        <v>1905</v>
      </c>
      <c r="B2071">
        <v>46143.58</v>
      </c>
      <c r="C2071">
        <v>17</v>
      </c>
      <c r="D2071">
        <v>0.963812</v>
      </c>
      <c r="E2071">
        <v>0.92208400000000001</v>
      </c>
    </row>
    <row r="2072" spans="1:5" x14ac:dyDescent="0.3">
      <c r="A2072" t="s">
        <v>2015</v>
      </c>
      <c r="B2072">
        <v>20991.79</v>
      </c>
      <c r="C2072">
        <v>4</v>
      </c>
      <c r="D2072">
        <v>1</v>
      </c>
      <c r="E2072" t="s">
        <v>1414</v>
      </c>
    </row>
    <row r="2073" spans="1:5" x14ac:dyDescent="0.3">
      <c r="A2073" t="s">
        <v>1650</v>
      </c>
      <c r="B2073">
        <v>-100997.03</v>
      </c>
      <c r="C2073">
        <v>1</v>
      </c>
      <c r="D2073">
        <v>0.92338600000000004</v>
      </c>
      <c r="E2073">
        <v>1</v>
      </c>
    </row>
    <row r="2074" spans="1:5" x14ac:dyDescent="0.3">
      <c r="A2074" t="s">
        <v>1651</v>
      </c>
      <c r="B2074">
        <v>49150.85</v>
      </c>
      <c r="C2074">
        <v>17</v>
      </c>
      <c r="D2074">
        <v>1</v>
      </c>
      <c r="E2074" t="s">
        <v>1414</v>
      </c>
    </row>
    <row r="2075" spans="1:5" x14ac:dyDescent="0.3">
      <c r="A2075" t="s">
        <v>1210</v>
      </c>
      <c r="B2075">
        <v>-102782.54</v>
      </c>
      <c r="C2075">
        <v>12</v>
      </c>
      <c r="D2075">
        <v>0.95717399999999997</v>
      </c>
      <c r="E2075">
        <v>0.16747500000000001</v>
      </c>
    </row>
    <row r="2076" spans="1:5" x14ac:dyDescent="0.3">
      <c r="A2076" t="s">
        <v>1906</v>
      </c>
      <c r="B2076">
        <v>82503.899999999994</v>
      </c>
      <c r="C2076">
        <v>18</v>
      </c>
      <c r="D2076">
        <v>0.98721800000000004</v>
      </c>
      <c r="E2076" t="s">
        <v>1414</v>
      </c>
    </row>
    <row r="2077" spans="1:5" x14ac:dyDescent="0.3">
      <c r="A2077" t="s">
        <v>816</v>
      </c>
      <c r="B2077">
        <v>-85047.46</v>
      </c>
      <c r="C2077">
        <v>20</v>
      </c>
      <c r="D2077">
        <v>0.99254200000000004</v>
      </c>
      <c r="E2077">
        <v>0.518791</v>
      </c>
    </row>
    <row r="2078" spans="1:5" x14ac:dyDescent="0.3">
      <c r="A2078" t="s">
        <v>1235</v>
      </c>
      <c r="B2078">
        <v>-100948.76</v>
      </c>
      <c r="C2078">
        <v>16</v>
      </c>
      <c r="D2078">
        <v>0.98512500000000003</v>
      </c>
      <c r="E2078">
        <v>0.99155499999999996</v>
      </c>
    </row>
    <row r="2079" spans="1:5" x14ac:dyDescent="0.3">
      <c r="A2079" t="s">
        <v>1907</v>
      </c>
      <c r="B2079">
        <v>-25660.45</v>
      </c>
      <c r="C2079">
        <v>0</v>
      </c>
      <c r="D2079">
        <v>1</v>
      </c>
      <c r="E2079">
        <v>1</v>
      </c>
    </row>
    <row r="2080" spans="1:5" x14ac:dyDescent="0.3">
      <c r="A2080" t="s">
        <v>1236</v>
      </c>
      <c r="B2080">
        <v>40638.85</v>
      </c>
      <c r="C2080">
        <v>20</v>
      </c>
      <c r="D2080">
        <v>1</v>
      </c>
      <c r="E2080">
        <v>1</v>
      </c>
    </row>
    <row r="2081" spans="1:5" x14ac:dyDescent="0.3">
      <c r="A2081" t="s">
        <v>1290</v>
      </c>
      <c r="B2081">
        <v>-396238.95</v>
      </c>
      <c r="C2081">
        <v>7</v>
      </c>
      <c r="D2081">
        <v>0.99179899999999999</v>
      </c>
      <c r="E2081">
        <v>9.6959999999999998E-3</v>
      </c>
    </row>
    <row r="2082" spans="1:5" x14ac:dyDescent="0.3">
      <c r="A2082" t="s">
        <v>817</v>
      </c>
      <c r="B2082">
        <v>149131.89000000001</v>
      </c>
      <c r="C2082">
        <v>24</v>
      </c>
      <c r="D2082">
        <v>1</v>
      </c>
      <c r="E2082">
        <v>0.90769100000000003</v>
      </c>
    </row>
    <row r="2083" spans="1:5" x14ac:dyDescent="0.3">
      <c r="A2083" t="s">
        <v>1908</v>
      </c>
      <c r="B2083">
        <v>100859.82</v>
      </c>
      <c r="C2083">
        <v>12</v>
      </c>
      <c r="D2083">
        <v>1</v>
      </c>
      <c r="E2083" t="s">
        <v>1414</v>
      </c>
    </row>
    <row r="2084" spans="1:5" x14ac:dyDescent="0.3">
      <c r="A2084" t="s">
        <v>1211</v>
      </c>
      <c r="B2084">
        <v>27409.77</v>
      </c>
      <c r="C2084">
        <v>18</v>
      </c>
      <c r="D2084">
        <v>0.94162199999999996</v>
      </c>
      <c r="E2084">
        <v>0.37312299999999998</v>
      </c>
    </row>
    <row r="2085" spans="1:5" x14ac:dyDescent="0.3">
      <c r="A2085" t="s">
        <v>1212</v>
      </c>
      <c r="B2085">
        <v>106579.25</v>
      </c>
      <c r="C2085">
        <v>34</v>
      </c>
      <c r="D2085">
        <v>0.99767700000000004</v>
      </c>
      <c r="E2085">
        <v>0.93272299999999997</v>
      </c>
    </row>
    <row r="2086" spans="1:5" x14ac:dyDescent="0.3">
      <c r="A2086" t="s">
        <v>1224</v>
      </c>
      <c r="B2086">
        <v>30178.53</v>
      </c>
      <c r="C2086">
        <v>23</v>
      </c>
      <c r="D2086">
        <v>0.995614</v>
      </c>
      <c r="E2086">
        <v>1</v>
      </c>
    </row>
    <row r="2087" spans="1:5" x14ac:dyDescent="0.3">
      <c r="A2087" t="s">
        <v>1909</v>
      </c>
      <c r="B2087">
        <v>3897.3399999999701</v>
      </c>
      <c r="C2087">
        <v>12</v>
      </c>
      <c r="D2087">
        <v>0.99422699999999997</v>
      </c>
      <c r="E2087">
        <v>1</v>
      </c>
    </row>
    <row r="2088" spans="1:5" x14ac:dyDescent="0.3">
      <c r="A2088" t="s">
        <v>1225</v>
      </c>
      <c r="B2088">
        <v>87489.86</v>
      </c>
      <c r="C2088">
        <v>31</v>
      </c>
      <c r="D2088">
        <v>0.99349600000000005</v>
      </c>
      <c r="E2088">
        <v>0.841808</v>
      </c>
    </row>
    <row r="2089" spans="1:5" x14ac:dyDescent="0.3">
      <c r="A2089" t="s">
        <v>2016</v>
      </c>
      <c r="B2089">
        <v>-41207.769999999997</v>
      </c>
      <c r="C2089">
        <v>10</v>
      </c>
      <c r="D2089">
        <v>0.93007600000000001</v>
      </c>
      <c r="E2089">
        <v>0</v>
      </c>
    </row>
    <row r="2090" spans="1:5" x14ac:dyDescent="0.3">
      <c r="A2090" t="s">
        <v>1253</v>
      </c>
      <c r="B2090">
        <v>6720.66</v>
      </c>
      <c r="C2090">
        <v>21</v>
      </c>
      <c r="D2090">
        <v>0.99886600000000003</v>
      </c>
      <c r="E2090">
        <v>0.97952300000000003</v>
      </c>
    </row>
    <row r="2091" spans="1:5" x14ac:dyDescent="0.3">
      <c r="A2091" t="s">
        <v>1237</v>
      </c>
      <c r="B2091">
        <v>-117769.08</v>
      </c>
      <c r="C2091">
        <v>11</v>
      </c>
      <c r="D2091">
        <v>0.98981699999999995</v>
      </c>
      <c r="E2091">
        <v>0.96534699999999996</v>
      </c>
    </row>
    <row r="2092" spans="1:5" x14ac:dyDescent="0.3">
      <c r="A2092" t="s">
        <v>1652</v>
      </c>
      <c r="B2092">
        <v>174901.41</v>
      </c>
      <c r="C2092">
        <v>18</v>
      </c>
      <c r="D2092">
        <v>0.99494000000000005</v>
      </c>
      <c r="E2092">
        <v>0.91241700000000003</v>
      </c>
    </row>
    <row r="2093" spans="1:5" x14ac:dyDescent="0.3">
      <c r="A2093" t="s">
        <v>1267</v>
      </c>
      <c r="B2093">
        <v>56211.99</v>
      </c>
      <c r="C2093">
        <v>12</v>
      </c>
      <c r="D2093">
        <v>0.98402999999999996</v>
      </c>
      <c r="E2093">
        <v>1</v>
      </c>
    </row>
    <row r="2094" spans="1:5" x14ac:dyDescent="0.3">
      <c r="A2094" t="s">
        <v>2017</v>
      </c>
      <c r="B2094">
        <v>229512.4</v>
      </c>
      <c r="C2094">
        <v>24</v>
      </c>
      <c r="D2094">
        <v>1</v>
      </c>
      <c r="E2094" t="s">
        <v>1414</v>
      </c>
    </row>
    <row r="2095" spans="1:5" x14ac:dyDescent="0.3">
      <c r="A2095" t="s">
        <v>1213</v>
      </c>
      <c r="B2095">
        <v>-71857.259999999995</v>
      </c>
      <c r="C2095">
        <v>13</v>
      </c>
      <c r="D2095">
        <v>0.99862499999999998</v>
      </c>
      <c r="E2095">
        <v>0.72560899999999995</v>
      </c>
    </row>
    <row r="2096" spans="1:5" x14ac:dyDescent="0.3">
      <c r="A2096" t="s">
        <v>1271</v>
      </c>
      <c r="B2096">
        <v>-88399.21</v>
      </c>
      <c r="C2096">
        <v>23</v>
      </c>
      <c r="D2096">
        <v>0.99813399999999997</v>
      </c>
      <c r="E2096">
        <v>1E-4</v>
      </c>
    </row>
    <row r="2097" spans="1:5" x14ac:dyDescent="0.3">
      <c r="A2097" t="s">
        <v>2018</v>
      </c>
      <c r="B2097">
        <v>139998.19</v>
      </c>
      <c r="C2097">
        <v>18</v>
      </c>
      <c r="D2097">
        <v>1</v>
      </c>
      <c r="E2097" t="s">
        <v>1414</v>
      </c>
    </row>
    <row r="2098" spans="1:5" x14ac:dyDescent="0.3">
      <c r="A2098" t="s">
        <v>1254</v>
      </c>
      <c r="B2098">
        <v>15265.9199999999</v>
      </c>
      <c r="C2098">
        <v>18</v>
      </c>
      <c r="D2098">
        <v>0.98949500000000001</v>
      </c>
      <c r="E2098">
        <v>0.97203399999999995</v>
      </c>
    </row>
    <row r="2099" spans="1:5" x14ac:dyDescent="0.3">
      <c r="A2099" t="s">
        <v>2226</v>
      </c>
      <c r="B2099">
        <v>40878</v>
      </c>
      <c r="C2099">
        <v>50</v>
      </c>
      <c r="D2099">
        <v>1</v>
      </c>
      <c r="E2099" t="s">
        <v>1414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4"/>
  <sheetViews>
    <sheetView workbookViewId="0">
      <selection sqref="A1:B164"/>
    </sheetView>
  </sheetViews>
  <sheetFormatPr baseColWidth="10" defaultRowHeight="14.4" x14ac:dyDescent="0.3"/>
  <sheetData>
    <row r="1" spans="1:1" x14ac:dyDescent="0.3">
      <c r="A1" t="s">
        <v>1291</v>
      </c>
    </row>
    <row r="2" spans="1:1" x14ac:dyDescent="0.3">
      <c r="A2" t="s">
        <v>1292</v>
      </c>
    </row>
    <row r="3" spans="1:1" x14ac:dyDescent="0.3">
      <c r="A3" t="s">
        <v>1293</v>
      </c>
    </row>
    <row r="5" spans="1:1" x14ac:dyDescent="0.3">
      <c r="A5" t="s">
        <v>1294</v>
      </c>
    </row>
    <row r="6" spans="1:1" x14ac:dyDescent="0.3">
      <c r="A6" t="s">
        <v>1295</v>
      </c>
    </row>
    <row r="7" spans="1:1" x14ac:dyDescent="0.3">
      <c r="A7" t="s">
        <v>1296</v>
      </c>
    </row>
    <row r="8" spans="1:1" x14ac:dyDescent="0.3">
      <c r="A8" t="s">
        <v>1297</v>
      </c>
    </row>
    <row r="9" spans="1:1" x14ac:dyDescent="0.3">
      <c r="A9" t="s">
        <v>1298</v>
      </c>
    </row>
    <row r="10" spans="1:1" x14ac:dyDescent="0.3">
      <c r="A10" t="s">
        <v>1299</v>
      </c>
    </row>
    <row r="11" spans="1:1" x14ac:dyDescent="0.3">
      <c r="A11" t="s">
        <v>1300</v>
      </c>
    </row>
    <row r="12" spans="1:1" x14ac:dyDescent="0.3">
      <c r="A12" t="s">
        <v>1301</v>
      </c>
    </row>
    <row r="13" spans="1:1" x14ac:dyDescent="0.3">
      <c r="A13" t="s">
        <v>1302</v>
      </c>
    </row>
    <row r="14" spans="1:1" x14ac:dyDescent="0.3">
      <c r="A14" t="s">
        <v>1303</v>
      </c>
    </row>
    <row r="15" spans="1:1" x14ac:dyDescent="0.3">
      <c r="A15" t="s">
        <v>1304</v>
      </c>
    </row>
    <row r="16" spans="1:1" x14ac:dyDescent="0.3">
      <c r="A16" t="s">
        <v>1305</v>
      </c>
    </row>
    <row r="17" spans="1:1" x14ac:dyDescent="0.3">
      <c r="A17" t="s">
        <v>1306</v>
      </c>
    </row>
    <row r="18" spans="1:1" x14ac:dyDescent="0.3">
      <c r="A18" t="s">
        <v>1307</v>
      </c>
    </row>
    <row r="19" spans="1:1" x14ac:dyDescent="0.3">
      <c r="A19" t="s">
        <v>1308</v>
      </c>
    </row>
    <row r="20" spans="1:1" x14ac:dyDescent="0.3">
      <c r="A20" t="s">
        <v>1309</v>
      </c>
    </row>
    <row r="21" spans="1:1" x14ac:dyDescent="0.3">
      <c r="A21" t="s">
        <v>1310</v>
      </c>
    </row>
    <row r="22" spans="1:1" x14ac:dyDescent="0.3">
      <c r="A22" t="s">
        <v>1311</v>
      </c>
    </row>
    <row r="23" spans="1:1" x14ac:dyDescent="0.3">
      <c r="A23" t="s">
        <v>1312</v>
      </c>
    </row>
    <row r="24" spans="1:1" x14ac:dyDescent="0.3">
      <c r="A24" t="s">
        <v>1313</v>
      </c>
    </row>
    <row r="26" spans="1:1" x14ac:dyDescent="0.3">
      <c r="A26" t="e">
        <f>--tabla traslados</f>
        <v>#NAME?</v>
      </c>
    </row>
    <row r="27" spans="1:1" x14ac:dyDescent="0.3">
      <c r="A27" t="s">
        <v>1314</v>
      </c>
    </row>
    <row r="28" spans="1:1" x14ac:dyDescent="0.3">
      <c r="A28" t="s">
        <v>1315</v>
      </c>
    </row>
    <row r="29" spans="1:1" x14ac:dyDescent="0.3">
      <c r="A29" t="s">
        <v>1316</v>
      </c>
    </row>
    <row r="32" spans="1:1" x14ac:dyDescent="0.3">
      <c r="A32" t="e">
        <f>--cartera</f>
        <v>#NAME?</v>
      </c>
    </row>
    <row r="33" spans="1:1" x14ac:dyDescent="0.3">
      <c r="A33" t="s">
        <v>1317</v>
      </c>
    </row>
    <row r="34" spans="1:1" x14ac:dyDescent="0.3">
      <c r="A34" t="s">
        <v>1318</v>
      </c>
    </row>
    <row r="35" spans="1:1" x14ac:dyDescent="0.3">
      <c r="A35" t="s">
        <v>1319</v>
      </c>
    </row>
    <row r="36" spans="1:1" x14ac:dyDescent="0.3">
      <c r="A36" t="s">
        <v>1320</v>
      </c>
    </row>
    <row r="37" spans="1:1" x14ac:dyDescent="0.3">
      <c r="A37" t="s">
        <v>1321</v>
      </c>
    </row>
    <row r="38" spans="1:1" x14ac:dyDescent="0.3">
      <c r="A38" t="s">
        <v>1322</v>
      </c>
    </row>
    <row r="39" spans="1:1" x14ac:dyDescent="0.3">
      <c r="A39" t="s">
        <v>1323</v>
      </c>
    </row>
    <row r="40" spans="1:1" x14ac:dyDescent="0.3">
      <c r="A40" t="s">
        <v>1324</v>
      </c>
    </row>
    <row r="41" spans="1:1" x14ac:dyDescent="0.3">
      <c r="A41" t="s">
        <v>1325</v>
      </c>
    </row>
    <row r="42" spans="1:1" x14ac:dyDescent="0.3">
      <c r="A42" t="s">
        <v>1326</v>
      </c>
    </row>
    <row r="43" spans="1:1" x14ac:dyDescent="0.3">
      <c r="A43" t="s">
        <v>1327</v>
      </c>
    </row>
    <row r="44" spans="1:1" x14ac:dyDescent="0.3">
      <c r="A44" t="s">
        <v>1328</v>
      </c>
    </row>
    <row r="45" spans="1:1" x14ac:dyDescent="0.3">
      <c r="A45" t="s">
        <v>1329</v>
      </c>
    </row>
    <row r="46" spans="1:1" x14ac:dyDescent="0.3">
      <c r="A46" t="s">
        <v>1330</v>
      </c>
    </row>
    <row r="48" spans="1:1" x14ac:dyDescent="0.3">
      <c r="A48" t="s">
        <v>1323</v>
      </c>
    </row>
    <row r="50" spans="1:1" x14ac:dyDescent="0.3">
      <c r="A50" t="s">
        <v>1331</v>
      </c>
    </row>
    <row r="51" spans="1:1" x14ac:dyDescent="0.3">
      <c r="A51" t="s">
        <v>1332</v>
      </c>
    </row>
    <row r="52" spans="1:1" x14ac:dyDescent="0.3">
      <c r="A52" t="s">
        <v>1333</v>
      </c>
    </row>
    <row r="53" spans="1:1" x14ac:dyDescent="0.3">
      <c r="A53" t="s">
        <v>1334</v>
      </c>
    </row>
    <row r="54" spans="1:1" x14ac:dyDescent="0.3">
      <c r="A54" t="s">
        <v>1335</v>
      </c>
    </row>
    <row r="55" spans="1:1" x14ac:dyDescent="0.3">
      <c r="A55" t="s">
        <v>1336</v>
      </c>
    </row>
    <row r="56" spans="1:1" x14ac:dyDescent="0.3">
      <c r="A56" t="s">
        <v>1332</v>
      </c>
    </row>
    <row r="57" spans="1:1" x14ac:dyDescent="0.3">
      <c r="A57" t="s">
        <v>1333</v>
      </c>
    </row>
    <row r="58" spans="1:1" x14ac:dyDescent="0.3">
      <c r="A58" t="s">
        <v>1337</v>
      </c>
    </row>
    <row r="59" spans="1:1" x14ac:dyDescent="0.3">
      <c r="A59" t="s">
        <v>1338</v>
      </c>
    </row>
    <row r="60" spans="1:1" x14ac:dyDescent="0.3">
      <c r="A60" t="s">
        <v>1339</v>
      </c>
    </row>
    <row r="63" spans="1:1" x14ac:dyDescent="0.3">
      <c r="A63" t="s">
        <v>1340</v>
      </c>
    </row>
    <row r="64" spans="1:1" x14ac:dyDescent="0.3">
      <c r="A64" t="s">
        <v>1341</v>
      </c>
    </row>
    <row r="65" spans="1:1" x14ac:dyDescent="0.3">
      <c r="A65" t="s">
        <v>1342</v>
      </c>
    </row>
    <row r="67" spans="1:1" x14ac:dyDescent="0.3">
      <c r="A67" t="e">
        <f>-- La cláusula WITH empieza aquí y define TODAS las CTEs</f>
        <v>#NAME?</v>
      </c>
    </row>
    <row r="68" spans="1:1" x14ac:dyDescent="0.3">
      <c r="A68" t="s">
        <v>1343</v>
      </c>
    </row>
    <row r="69" spans="1:1" x14ac:dyDescent="0.3">
      <c r="A69" t="s">
        <v>1344</v>
      </c>
    </row>
    <row r="70" spans="1:1" x14ac:dyDescent="0.3">
      <c r="A70" t="s">
        <v>1345</v>
      </c>
    </row>
    <row r="71" spans="1:1" x14ac:dyDescent="0.3">
      <c r="A71" t="s">
        <v>1346</v>
      </c>
    </row>
    <row r="72" spans="1:1" x14ac:dyDescent="0.3">
      <c r="A72" t="s">
        <v>1345</v>
      </c>
    </row>
    <row r="73" spans="1:1" x14ac:dyDescent="0.3">
      <c r="A73" t="s">
        <v>1347</v>
      </c>
    </row>
    <row r="74" spans="1:1" x14ac:dyDescent="0.3">
      <c r="A74" t="s">
        <v>1348</v>
      </c>
    </row>
    <row r="75" spans="1:1" x14ac:dyDescent="0.3">
      <c r="A75" t="s">
        <v>1349</v>
      </c>
    </row>
    <row r="76" spans="1:1" x14ac:dyDescent="0.3">
      <c r="A76" t="s">
        <v>1350</v>
      </c>
    </row>
    <row r="77" spans="1:1" x14ac:dyDescent="0.3">
      <c r="A77" t="s">
        <v>1351</v>
      </c>
    </row>
    <row r="78" spans="1:1" x14ac:dyDescent="0.3">
      <c r="A78" t="s">
        <v>1352</v>
      </c>
    </row>
    <row r="79" spans="1:1" x14ac:dyDescent="0.3">
      <c r="A79" t="s">
        <v>1348</v>
      </c>
    </row>
    <row r="80" spans="1:1" x14ac:dyDescent="0.3">
      <c r="A80" t="s">
        <v>1353</v>
      </c>
    </row>
    <row r="81" spans="1:1" x14ac:dyDescent="0.3">
      <c r="A81" t="s">
        <v>1354</v>
      </c>
    </row>
    <row r="82" spans="1:1" x14ac:dyDescent="0.3">
      <c r="A82" t="s">
        <v>1355</v>
      </c>
    </row>
    <row r="83" spans="1:1" x14ac:dyDescent="0.3">
      <c r="A83" t="s">
        <v>1356</v>
      </c>
    </row>
    <row r="84" spans="1:1" x14ac:dyDescent="0.3">
      <c r="A84" t="s">
        <v>1348</v>
      </c>
    </row>
    <row r="85" spans="1:1" x14ac:dyDescent="0.3">
      <c r="A85" t="s">
        <v>1357</v>
      </c>
    </row>
    <row r="86" spans="1:1" x14ac:dyDescent="0.3">
      <c r="A86" t="s">
        <v>1358</v>
      </c>
    </row>
    <row r="87" spans="1:1" x14ac:dyDescent="0.3">
      <c r="A87" t="s">
        <v>1355</v>
      </c>
    </row>
    <row r="88" spans="1:1" x14ac:dyDescent="0.3">
      <c r="A88" t="s">
        <v>1359</v>
      </c>
    </row>
    <row r="89" spans="1:1" x14ac:dyDescent="0.3">
      <c r="A89" t="s">
        <v>1348</v>
      </c>
    </row>
    <row r="90" spans="1:1" x14ac:dyDescent="0.3">
      <c r="A90" t="s">
        <v>1360</v>
      </c>
    </row>
    <row r="91" spans="1:1" x14ac:dyDescent="0.3">
      <c r="A91" t="s">
        <v>1361</v>
      </c>
    </row>
    <row r="92" spans="1:1" x14ac:dyDescent="0.3">
      <c r="A92" t="s">
        <v>1362</v>
      </c>
    </row>
    <row r="93" spans="1:1" x14ac:dyDescent="0.3">
      <c r="A93" t="s">
        <v>1363</v>
      </c>
    </row>
    <row r="94" spans="1:1" x14ac:dyDescent="0.3">
      <c r="A94" t="s">
        <v>1348</v>
      </c>
    </row>
    <row r="95" spans="1:1" x14ac:dyDescent="0.3">
      <c r="A95" t="s">
        <v>1364</v>
      </c>
    </row>
    <row r="96" spans="1:1" x14ac:dyDescent="0.3">
      <c r="A96" t="s">
        <v>1365</v>
      </c>
    </row>
    <row r="97" spans="1:1" x14ac:dyDescent="0.3">
      <c r="A97" t="s">
        <v>1366</v>
      </c>
    </row>
    <row r="98" spans="1:1" x14ac:dyDescent="0.3">
      <c r="A98" t="s">
        <v>1367</v>
      </c>
    </row>
    <row r="99" spans="1:1" x14ac:dyDescent="0.3">
      <c r="A99" t="s">
        <v>1348</v>
      </c>
    </row>
    <row r="100" spans="1:1" x14ac:dyDescent="0.3">
      <c r="A100" t="s">
        <v>1368</v>
      </c>
    </row>
    <row r="101" spans="1:1" x14ac:dyDescent="0.3">
      <c r="A101" t="s">
        <v>1369</v>
      </c>
    </row>
    <row r="102" spans="1:1" x14ac:dyDescent="0.3">
      <c r="A102" t="s">
        <v>1370</v>
      </c>
    </row>
    <row r="103" spans="1:1" x14ac:dyDescent="0.3">
      <c r="A103" t="s">
        <v>1359</v>
      </c>
    </row>
    <row r="104" spans="1:1" x14ac:dyDescent="0.3">
      <c r="A104" t="s">
        <v>1348</v>
      </c>
    </row>
    <row r="105" spans="1:1" x14ac:dyDescent="0.3">
      <c r="A105" t="s">
        <v>1371</v>
      </c>
    </row>
    <row r="106" spans="1:1" x14ac:dyDescent="0.3">
      <c r="A106" t="s">
        <v>1372</v>
      </c>
    </row>
    <row r="107" spans="1:1" x14ac:dyDescent="0.3">
      <c r="A107" t="s">
        <v>1371</v>
      </c>
    </row>
    <row r="108" spans="1:1" x14ac:dyDescent="0.3">
      <c r="A108" t="s">
        <v>1373</v>
      </c>
    </row>
    <row r="109" spans="1:1" x14ac:dyDescent="0.3">
      <c r="A109" t="s">
        <v>1374</v>
      </c>
    </row>
    <row r="110" spans="1:1" x14ac:dyDescent="0.3">
      <c r="A110" t="s">
        <v>1375</v>
      </c>
    </row>
    <row r="111" spans="1:1" x14ac:dyDescent="0.3">
      <c r="A111" t="s">
        <v>1376</v>
      </c>
    </row>
    <row r="112" spans="1:1" x14ac:dyDescent="0.3">
      <c r="A112" t="s">
        <v>1377</v>
      </c>
    </row>
    <row r="113" spans="1:1" x14ac:dyDescent="0.3">
      <c r="A113" t="s">
        <v>1348</v>
      </c>
    </row>
    <row r="114" spans="1:1" x14ac:dyDescent="0.3">
      <c r="A114" t="s">
        <v>1378</v>
      </c>
    </row>
    <row r="115" spans="1:1" x14ac:dyDescent="0.3">
      <c r="A115" t="s">
        <v>1379</v>
      </c>
    </row>
    <row r="116" spans="1:1" x14ac:dyDescent="0.3">
      <c r="A116" t="s">
        <v>1380</v>
      </c>
    </row>
    <row r="117" spans="1:1" x14ac:dyDescent="0.3">
      <c r="A117" t="s">
        <v>1381</v>
      </c>
    </row>
    <row r="118" spans="1:1" x14ac:dyDescent="0.3">
      <c r="A118" t="s">
        <v>1382</v>
      </c>
    </row>
    <row r="119" spans="1:1" x14ac:dyDescent="0.3">
      <c r="A119" t="s">
        <v>1383</v>
      </c>
    </row>
    <row r="120" spans="1:1" x14ac:dyDescent="0.3">
      <c r="A120" t="s">
        <v>1384</v>
      </c>
    </row>
    <row r="121" spans="1:1" x14ac:dyDescent="0.3">
      <c r="A121" t="s">
        <v>1385</v>
      </c>
    </row>
    <row r="122" spans="1:1" x14ac:dyDescent="0.3">
      <c r="A122" t="s">
        <v>1386</v>
      </c>
    </row>
    <row r="123" spans="1:1" x14ac:dyDescent="0.3">
      <c r="A123" t="s">
        <v>1387</v>
      </c>
    </row>
    <row r="124" spans="1:1" x14ac:dyDescent="0.3">
      <c r="A124" t="s">
        <v>1348</v>
      </c>
    </row>
    <row r="125" spans="1:1" x14ac:dyDescent="0.3">
      <c r="A125" t="s">
        <v>1388</v>
      </c>
    </row>
    <row r="126" spans="1:1" x14ac:dyDescent="0.3">
      <c r="A126" t="s">
        <v>1389</v>
      </c>
    </row>
    <row r="127" spans="1:1" x14ac:dyDescent="0.3">
      <c r="A127" t="s">
        <v>1390</v>
      </c>
    </row>
    <row r="128" spans="1:1" x14ac:dyDescent="0.3">
      <c r="A128" t="s">
        <v>1391</v>
      </c>
    </row>
    <row r="129" spans="1:1" x14ac:dyDescent="0.3">
      <c r="A129" t="s">
        <v>1348</v>
      </c>
    </row>
    <row r="130" spans="1:1" x14ac:dyDescent="0.3">
      <c r="A130" t="s">
        <v>1392</v>
      </c>
    </row>
    <row r="131" spans="1:1" x14ac:dyDescent="0.3">
      <c r="A131" t="s">
        <v>1380</v>
      </c>
    </row>
    <row r="132" spans="1:1" x14ac:dyDescent="0.3">
      <c r="A132" t="s">
        <v>1381</v>
      </c>
    </row>
    <row r="133" spans="1:1" x14ac:dyDescent="0.3">
      <c r="A133" t="s">
        <v>1382</v>
      </c>
    </row>
    <row r="134" spans="1:1" x14ac:dyDescent="0.3">
      <c r="A134" t="s">
        <v>1383</v>
      </c>
    </row>
    <row r="135" spans="1:1" x14ac:dyDescent="0.3">
      <c r="A135" t="s">
        <v>1384</v>
      </c>
    </row>
    <row r="136" spans="1:1" x14ac:dyDescent="0.3">
      <c r="A136" t="s">
        <v>1385</v>
      </c>
    </row>
    <row r="137" spans="1:1" x14ac:dyDescent="0.3">
      <c r="A137" t="s">
        <v>1393</v>
      </c>
    </row>
    <row r="138" spans="1:1" x14ac:dyDescent="0.3">
      <c r="A138" t="s">
        <v>1387</v>
      </c>
    </row>
    <row r="139" spans="1:1" x14ac:dyDescent="0.3">
      <c r="A139" t="s">
        <v>1335</v>
      </c>
    </row>
    <row r="140" spans="1:1" x14ac:dyDescent="0.3">
      <c r="A140" t="s">
        <v>1371</v>
      </c>
    </row>
    <row r="141" spans="1:1" x14ac:dyDescent="0.3">
      <c r="A141" t="e">
        <f>-- SELECT FINAL (sin cambios)</f>
        <v>#NAME?</v>
      </c>
    </row>
    <row r="142" spans="1:1" x14ac:dyDescent="0.3">
      <c r="A142" t="s">
        <v>1371</v>
      </c>
    </row>
    <row r="143" spans="1:1" x14ac:dyDescent="0.3">
      <c r="A143" t="s">
        <v>1336</v>
      </c>
    </row>
    <row r="144" spans="1:1" x14ac:dyDescent="0.3">
      <c r="A144" t="s">
        <v>1394</v>
      </c>
    </row>
    <row r="145" spans="1:2" x14ac:dyDescent="0.3">
      <c r="A145" t="s">
        <v>1395</v>
      </c>
    </row>
    <row r="146" spans="1:2" x14ac:dyDescent="0.3">
      <c r="B146" t="s">
        <v>1396</v>
      </c>
    </row>
    <row r="147" spans="1:2" x14ac:dyDescent="0.3">
      <c r="A147" t="s">
        <v>1397</v>
      </c>
    </row>
    <row r="148" spans="1:2" x14ac:dyDescent="0.3">
      <c r="A148" t="s">
        <v>1398</v>
      </c>
    </row>
    <row r="149" spans="1:2" x14ac:dyDescent="0.3">
      <c r="A149" t="s">
        <v>1399</v>
      </c>
    </row>
    <row r="150" spans="1:2" x14ac:dyDescent="0.3">
      <c r="A150" t="s">
        <v>1400</v>
      </c>
    </row>
    <row r="151" spans="1:2" x14ac:dyDescent="0.3">
      <c r="A151" t="s">
        <v>1401</v>
      </c>
    </row>
    <row r="152" spans="1:2" x14ac:dyDescent="0.3">
      <c r="A152" t="s">
        <v>1402</v>
      </c>
    </row>
    <row r="153" spans="1:2" x14ac:dyDescent="0.3">
      <c r="A153" t="s">
        <v>1403</v>
      </c>
    </row>
    <row r="154" spans="1:2" x14ac:dyDescent="0.3">
      <c r="A154" t="s">
        <v>1404</v>
      </c>
    </row>
    <row r="155" spans="1:2" x14ac:dyDescent="0.3">
      <c r="A155" t="s">
        <v>1405</v>
      </c>
    </row>
    <row r="156" spans="1:2" x14ac:dyDescent="0.3">
      <c r="A156" t="s">
        <v>1406</v>
      </c>
    </row>
    <row r="157" spans="1:2" x14ac:dyDescent="0.3">
      <c r="A157" t="s">
        <v>1407</v>
      </c>
    </row>
    <row r="158" spans="1:2" x14ac:dyDescent="0.3">
      <c r="A158" t="s">
        <v>1408</v>
      </c>
    </row>
    <row r="159" spans="1:2" x14ac:dyDescent="0.3">
      <c r="A159" t="s">
        <v>1409</v>
      </c>
    </row>
    <row r="160" spans="1:2" x14ac:dyDescent="0.3">
      <c r="A160" t="s">
        <v>1410</v>
      </c>
    </row>
    <row r="161" spans="1:1" x14ac:dyDescent="0.3">
      <c r="A161" t="s">
        <v>1411</v>
      </c>
    </row>
    <row r="162" spans="1:1" x14ac:dyDescent="0.3">
      <c r="A162" t="s">
        <v>1412</v>
      </c>
    </row>
    <row r="164" spans="1:1" x14ac:dyDescent="0.3">
      <c r="A164" t="s">
        <v>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Query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HIJAR ZEVALLOS GIANCARLO ANDRE</dc:creator>
  <cp:lastModifiedBy>FLORES ESPINOZA PIERRO JOSHEP</cp:lastModifiedBy>
  <dcterms:created xsi:type="dcterms:W3CDTF">2025-09-19T17:43:33Z</dcterms:created>
  <dcterms:modified xsi:type="dcterms:W3CDTF">2026-07-16T15:54:54Z</dcterms:modified>
</cp:coreProperties>
</file>